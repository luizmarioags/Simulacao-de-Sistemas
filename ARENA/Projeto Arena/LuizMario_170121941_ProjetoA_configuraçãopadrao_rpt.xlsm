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a2dfc1885a742a/Desktop/Aula - Arena/Trabalho - Arena/"/>
    </mc:Choice>
  </mc:AlternateContent>
  <xr:revisionPtr revIDLastSave="0" documentId="8_{092842C2-7C55-4EF3-9D50-83AB6BAD2392}" xr6:coauthVersionLast="47" xr6:coauthVersionMax="47" xr10:uidLastSave="{00000000-0000-0000-0000-000000000000}"/>
  <bookViews>
    <workbookView xWindow="4680" yWindow="3360" windowWidth="17280" windowHeight="888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ContinuousTimeStatsByRep!$A$1:$L$21</definedName>
    <definedName name="ExternalData_1" localSheetId="4" hidden="1">CounterStatsByRep!$A$1:$G$2</definedName>
    <definedName name="ExternalData_1" localSheetId="2" hidden="1">DiscreteTimeStatsByRep!$A$1:$K$23</definedName>
    <definedName name="ExternalData_1" localSheetId="6" hidden="1">FrequencyStatsByRep!$A$1:$J$2</definedName>
    <definedName name="ExternalData_1" localSheetId="5" hidden="1">OutputStatsByRep!$A$1:$H$18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K17" i="20" s="1" a="1"/>
  <c r="K17" i="20" s="1"/>
  <c r="I3" i="20"/>
  <c r="K3" i="20" s="1" a="1"/>
  <c r="K3" i="20" s="1"/>
  <c r="I4" i="20"/>
  <c r="I5" i="20"/>
  <c r="I6" i="20"/>
  <c r="L6" i="20" s="1" a="1"/>
  <c r="L6" i="20" s="1"/>
  <c r="I7" i="20"/>
  <c r="L7" i="20" s="1" a="1"/>
  <c r="L7" i="20" s="1"/>
  <c r="I8" i="20"/>
  <c r="I9" i="20"/>
  <c r="I10" i="20"/>
  <c r="I11" i="20"/>
  <c r="O11" i="20" s="1" a="1"/>
  <c r="O11" i="20" s="1"/>
  <c r="I12" i="20"/>
  <c r="I13" i="20"/>
  <c r="I14" i="20"/>
  <c r="I15" i="20"/>
  <c r="O15" i="20" s="1" a="1"/>
  <c r="O15" i="20" s="1"/>
  <c r="I16" i="20"/>
  <c r="I17" i="20"/>
  <c r="I18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/>
  <c r="J8" i="20" a="1"/>
  <c r="J8" i="20" s="1"/>
  <c r="J9" i="20" a="1"/>
  <c r="J9" i="20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/>
  <c r="J16" i="20" a="1"/>
  <c r="J16" i="20" s="1"/>
  <c r="J17" i="20" a="1"/>
  <c r="J17" i="20"/>
  <c r="J18" i="20" a="1"/>
  <c r="J18" i="20" s="1"/>
  <c r="K7" i="20" a="1"/>
  <c r="K7" i="20" s="1"/>
  <c r="K9" i="20" a="1"/>
  <c r="K9" i="20" s="1"/>
  <c r="K15" i="20" a="1"/>
  <c r="K15" i="20" s="1"/>
  <c r="K16" i="20" a="1"/>
  <c r="K16" i="20" s="1"/>
  <c r="L3" i="20" a="1"/>
  <c r="L3" i="20" s="1"/>
  <c r="L4" i="20" a="1"/>
  <c r="L4" i="20" s="1"/>
  <c r="L8" i="20" a="1"/>
  <c r="L8" i="20" s="1"/>
  <c r="L10" i="20" a="1"/>
  <c r="L10" i="20" s="1"/>
  <c r="L13" i="20" a="1"/>
  <c r="L13" i="20" s="1"/>
  <c r="L14" i="20" a="1"/>
  <c r="L14" i="20" s="1"/>
  <c r="L17" i="20" a="1"/>
  <c r="L17" i="20" s="1"/>
  <c r="L18" i="20" a="1"/>
  <c r="L18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N17" i="20" s="1"/>
  <c r="M18" i="20" a="1"/>
  <c r="M18" i="20" s="1"/>
  <c r="O13" i="20" a="1"/>
  <c r="O13" i="20" s="1"/>
  <c r="P3" i="20" a="1"/>
  <c r="P3" i="20" s="1"/>
  <c r="P6" i="20" a="1"/>
  <c r="P6" i="20" s="1"/>
  <c r="P8" i="20" a="1"/>
  <c r="P8" i="20" s="1"/>
  <c r="P11" i="20" a="1"/>
  <c r="P11" i="20" s="1"/>
  <c r="P14" i="20" a="1"/>
  <c r="P14" i="20" s="1"/>
  <c r="P16" i="20" a="1"/>
  <c r="P16" i="20" s="1"/>
  <c r="P18" i="20" a="1"/>
  <c r="P18" i="20"/>
  <c r="M2" i="18"/>
  <c r="O5" i="18" s="1" a="1"/>
  <c r="O5" i="18" s="1"/>
  <c r="M3" i="18"/>
  <c r="S10" i="18" s="1" a="1"/>
  <c r="S10" i="18" s="1"/>
  <c r="M4" i="18"/>
  <c r="M5" i="18"/>
  <c r="M6" i="18"/>
  <c r="M7" i="18"/>
  <c r="O7" i="18" s="1" a="1"/>
  <c r="O7" i="18" s="1"/>
  <c r="M8" i="18"/>
  <c r="M9" i="18"/>
  <c r="M10" i="18"/>
  <c r="P10" i="18" s="1" a="1"/>
  <c r="P10" i="18" s="1"/>
  <c r="M11" i="18"/>
  <c r="P17" i="18" s="1" a="1"/>
  <c r="P17" i="18" s="1"/>
  <c r="M12" i="18"/>
  <c r="M13" i="18"/>
  <c r="M14" i="18"/>
  <c r="M15" i="18"/>
  <c r="O15" i="18" s="1" a="1"/>
  <c r="O15" i="18" s="1"/>
  <c r="M16" i="18"/>
  <c r="M17" i="18"/>
  <c r="M18" i="18"/>
  <c r="M19" i="18"/>
  <c r="O19" i="18" s="1" a="1"/>
  <c r="O19" i="18" s="1"/>
  <c r="M20" i="18"/>
  <c r="P20" i="18" s="1" a="1"/>
  <c r="P20" i="18" s="1"/>
  <c r="M21" i="18"/>
  <c r="N2" i="18" a="1"/>
  <c r="N2" i="18"/>
  <c r="N3" i="18" a="1"/>
  <c r="N3" i="18" s="1"/>
  <c r="N4" i="18" a="1"/>
  <c r="N4" i="18"/>
  <c r="N5" i="18" a="1"/>
  <c r="N5" i="18" s="1"/>
  <c r="N6" i="18" a="1"/>
  <c r="N6" i="18" s="1"/>
  <c r="U6" i="18" s="1"/>
  <c r="N7" i="18" a="1"/>
  <c r="N7" i="18" s="1"/>
  <c r="N8" i="18" a="1"/>
  <c r="N8" i="18"/>
  <c r="N9" i="18" a="1"/>
  <c r="N9" i="18" s="1"/>
  <c r="N10" i="18" a="1"/>
  <c r="N10" i="18"/>
  <c r="N11" i="18" a="1"/>
  <c r="N11" i="18" s="1"/>
  <c r="N12" i="18" a="1"/>
  <c r="N12" i="18"/>
  <c r="N13" i="18" a="1"/>
  <c r="N13" i="18" s="1"/>
  <c r="N14" i="18" a="1"/>
  <c r="N14" i="18" s="1"/>
  <c r="U14" i="18" s="1"/>
  <c r="N15" i="18" a="1"/>
  <c r="N15" i="18" s="1"/>
  <c r="N16" i="18" a="1"/>
  <c r="N16" i="18"/>
  <c r="N17" i="18" a="1"/>
  <c r="N17" i="18" s="1"/>
  <c r="N18" i="18" a="1"/>
  <c r="N18" i="18"/>
  <c r="N19" i="18" a="1"/>
  <c r="N19" i="18" s="1"/>
  <c r="N20" i="18" a="1"/>
  <c r="N20" i="18"/>
  <c r="N21" i="18" a="1"/>
  <c r="N21" i="18" s="1"/>
  <c r="O3" i="18" a="1"/>
  <c r="O3" i="18" s="1"/>
  <c r="O11" i="18" a="1"/>
  <c r="O11" i="18" s="1"/>
  <c r="O17" i="18" a="1"/>
  <c r="O17" i="18" s="1"/>
  <c r="O18" i="18" a="1"/>
  <c r="O18" i="18" s="1"/>
  <c r="P3" i="18" a="1"/>
  <c r="P3" i="18" s="1"/>
  <c r="P7" i="18" a="1"/>
  <c r="P7" i="18" s="1"/>
  <c r="P9" i="18" a="1"/>
  <c r="P9" i="18" s="1"/>
  <c r="P13" i="18" a="1"/>
  <c r="P13" i="18" s="1"/>
  <c r="P14" i="18" a="1"/>
  <c r="P14" i="18" s="1"/>
  <c r="P18" i="18" a="1"/>
  <c r="P18" i="18" s="1"/>
  <c r="P19" i="18" a="1"/>
  <c r="P19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/>
  <c r="Q9" i="18" a="1"/>
  <c r="Q9" i="18" s="1"/>
  <c r="Q10" i="18" a="1"/>
  <c r="Q10" i="18" s="1"/>
  <c r="Q11" i="18" a="1"/>
  <c r="Q11" i="18" s="1"/>
  <c r="Q12" i="18" a="1"/>
  <c r="Q12" i="18"/>
  <c r="Q13" i="18" a="1"/>
  <c r="Q13" i="18" s="1"/>
  <c r="Q14" i="18" a="1"/>
  <c r="Q14" i="18" s="1"/>
  <c r="Q15" i="18" a="1"/>
  <c r="Q15" i="18" s="1"/>
  <c r="Q16" i="18" a="1"/>
  <c r="Q16" i="18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S3" i="18" a="1"/>
  <c r="S3" i="18" s="1"/>
  <c r="S4" i="18" a="1"/>
  <c r="S4" i="18" s="1"/>
  <c r="S8" i="18" a="1"/>
  <c r="S8" i="18" s="1"/>
  <c r="S9" i="18" a="1"/>
  <c r="S9" i="18" s="1"/>
  <c r="S12" i="18" a="1"/>
  <c r="S12" i="18" s="1"/>
  <c r="S13" i="18" a="1"/>
  <c r="S13" i="18" s="1"/>
  <c r="S15" i="18" a="1"/>
  <c r="S15" i="18" s="1"/>
  <c r="S16" i="18" a="1"/>
  <c r="S16" i="18" s="1"/>
  <c r="S17" i="18" a="1"/>
  <c r="S17" i="18" s="1"/>
  <c r="S20" i="18" a="1"/>
  <c r="S20" i="18" s="1"/>
  <c r="S21" i="18" a="1"/>
  <c r="S21" i="18" s="1"/>
  <c r="T3" i="18" a="1"/>
  <c r="T3" i="18" s="1"/>
  <c r="T4" i="18" a="1"/>
  <c r="T4" i="18" s="1"/>
  <c r="T5" i="18" a="1"/>
  <c r="T5" i="18" s="1"/>
  <c r="T8" i="18" a="1"/>
  <c r="T8" i="18" s="1"/>
  <c r="T9" i="18" a="1"/>
  <c r="T9" i="18" s="1"/>
  <c r="T11" i="18" a="1"/>
  <c r="T11" i="18" s="1"/>
  <c r="T12" i="18" a="1"/>
  <c r="T12" i="18" s="1"/>
  <c r="T13" i="18" a="1"/>
  <c r="T13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U2" i="18"/>
  <c r="U4" i="18"/>
  <c r="U8" i="18"/>
  <c r="U10" i="18"/>
  <c r="U12" i="18"/>
  <c r="U16" i="18"/>
  <c r="U18" i="18"/>
  <c r="U20" i="18"/>
  <c r="L2" i="17"/>
  <c r="O7" i="17" s="1" a="1"/>
  <c r="O7" i="17" s="1"/>
  <c r="L3" i="17"/>
  <c r="L4" i="17"/>
  <c r="L5" i="17"/>
  <c r="L6" i="17"/>
  <c r="R6" i="17" s="1" a="1"/>
  <c r="R6" i="17" s="1"/>
  <c r="L7" i="17"/>
  <c r="L8" i="17"/>
  <c r="L9" i="17"/>
  <c r="L10" i="17"/>
  <c r="S4" i="17" s="1" a="1"/>
  <c r="S4" i="17" s="1"/>
  <c r="L11" i="17"/>
  <c r="L12" i="17"/>
  <c r="L13" i="17"/>
  <c r="L14" i="17"/>
  <c r="R14" i="17" s="1" a="1"/>
  <c r="R14" i="17" s="1"/>
  <c r="L15" i="17"/>
  <c r="L16" i="17"/>
  <c r="L17" i="17"/>
  <c r="L18" i="17"/>
  <c r="N18" i="17" s="1" a="1"/>
  <c r="N18" i="17" s="1"/>
  <c r="L19" i="17"/>
  <c r="L20" i="17"/>
  <c r="L21" i="17"/>
  <c r="L22" i="17"/>
  <c r="L23" i="17"/>
  <c r="M2" i="17" a="1"/>
  <c r="M2" i="17" s="1"/>
  <c r="M3" i="17" a="1"/>
  <c r="M3" i="17" s="1"/>
  <c r="M4" i="17" a="1"/>
  <c r="M4" i="17" s="1"/>
  <c r="M5" i="17" a="1"/>
  <c r="M5" i="17" s="1"/>
  <c r="W5" i="17" s="1"/>
  <c r="M6" i="17" a="1"/>
  <c r="M6" i="17" s="1"/>
  <c r="M7" i="17" a="1"/>
  <c r="M7" i="17" s="1"/>
  <c r="W7" i="17" s="1"/>
  <c r="M8" i="17" a="1"/>
  <c r="M8" i="17" s="1"/>
  <c r="M9" i="17" a="1"/>
  <c r="M9" i="17" s="1"/>
  <c r="W9" i="17" s="1"/>
  <c r="M10" i="17" a="1"/>
  <c r="M10" i="17" s="1"/>
  <c r="M11" i="17" a="1"/>
  <c r="M11" i="17"/>
  <c r="M12" i="17" a="1"/>
  <c r="M12" i="17" s="1"/>
  <c r="M13" i="17" a="1"/>
  <c r="M13" i="17"/>
  <c r="W13" i="17" s="1"/>
  <c r="M14" i="17" a="1"/>
  <c r="M14" i="17" s="1"/>
  <c r="M15" i="17" a="1"/>
  <c r="M15" i="17" s="1"/>
  <c r="W15" i="17" s="1"/>
  <c r="M16" i="17" a="1"/>
  <c r="M16" i="17" s="1"/>
  <c r="M17" i="17" a="1"/>
  <c r="M17" i="17" s="1"/>
  <c r="W17" i="17" s="1"/>
  <c r="M18" i="17" a="1"/>
  <c r="M18" i="17" s="1"/>
  <c r="M19" i="17" a="1"/>
  <c r="M19" i="17" s="1"/>
  <c r="M20" i="17" a="1"/>
  <c r="M20" i="17" s="1"/>
  <c r="M21" i="17" a="1"/>
  <c r="M21" i="17" s="1"/>
  <c r="W21" i="17" s="1"/>
  <c r="M22" i="17" a="1"/>
  <c r="M22" i="17" s="1"/>
  <c r="M23" i="17" a="1"/>
  <c r="M23" i="17" s="1"/>
  <c r="W23" i="17" s="1"/>
  <c r="N21" i="17" a="1"/>
  <c r="N2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R4" i="17" a="1"/>
  <c r="R4" i="17" s="1"/>
  <c r="R13" i="17" a="1"/>
  <c r="R13" i="17" s="1"/>
  <c r="R19" i="17" a="1"/>
  <c r="R19" i="17" s="1"/>
  <c r="S2" i="17" a="1"/>
  <c r="S2" i="17" s="1"/>
  <c r="S7" i="17" a="1"/>
  <c r="S7" i="17" s="1"/>
  <c r="S11" i="17" a="1"/>
  <c r="S11" i="17" s="1"/>
  <c r="S12" i="17" a="1"/>
  <c r="S12" i="17" s="1"/>
  <c r="S15" i="17" a="1"/>
  <c r="S15" i="17" s="1"/>
  <c r="S16" i="17" a="1"/>
  <c r="S16" i="17" s="1"/>
  <c r="S19" i="17" a="1"/>
  <c r="S19" i="17" s="1"/>
  <c r="S20" i="17" a="1"/>
  <c r="S20" i="17" s="1"/>
  <c r="S21" i="17" a="1"/>
  <c r="S21" i="17" s="1"/>
  <c r="S23" i="17" a="1"/>
  <c r="S23" i="17" s="1"/>
  <c r="T2" i="17" a="1"/>
  <c r="T2" i="17" s="1"/>
  <c r="T3" i="17" a="1"/>
  <c r="T3" i="17" s="1"/>
  <c r="T5" i="17" a="1"/>
  <c r="T5" i="17" s="1"/>
  <c r="T6" i="17" a="1"/>
  <c r="T6" i="17" s="1"/>
  <c r="T7" i="17" a="1"/>
  <c r="T7" i="17" s="1"/>
  <c r="T8" i="17" a="1"/>
  <c r="T8" i="17" s="1"/>
  <c r="T9" i="17" a="1"/>
  <c r="T9" i="17" s="1"/>
  <c r="T10" i="17" a="1"/>
  <c r="T10" i="17" s="1"/>
  <c r="T11" i="17" a="1"/>
  <c r="T11" i="17" s="1"/>
  <c r="T13" i="17" a="1"/>
  <c r="T1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20" i="17" a="1"/>
  <c r="T20" i="17" s="1"/>
  <c r="T21" i="17" a="1"/>
  <c r="T21" i="17" s="1"/>
  <c r="T22" i="17" a="1"/>
  <c r="T22" i="17" s="1"/>
  <c r="T23" i="17" a="1"/>
  <c r="T23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20" i="17" a="1"/>
  <c r="U20" i="17" s="1"/>
  <c r="U21" i="17" a="1"/>
  <c r="U21" i="17" s="1"/>
  <c r="U22" i="17" a="1"/>
  <c r="U22" i="17" s="1"/>
  <c r="U23" i="17" a="1"/>
  <c r="U23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20" i="17" a="1"/>
  <c r="V20" i="17" s="1"/>
  <c r="V21" i="17" a="1"/>
  <c r="V21" i="17" s="1"/>
  <c r="V22" i="17" a="1"/>
  <c r="V22" i="17" s="1"/>
  <c r="V23" i="17" a="1"/>
  <c r="V23" i="17" s="1"/>
  <c r="W11" i="17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X8" i="17" a="1"/>
  <c r="X8" i="17" s="1"/>
  <c r="X9" i="17" a="1"/>
  <c r="X9" i="17" s="1"/>
  <c r="X10" i="17" a="1"/>
  <c r="X10" i="17" s="1"/>
  <c r="X11" i="17" a="1"/>
  <c r="X11" i="17" s="1"/>
  <c r="X12" i="17" a="1"/>
  <c r="X12" i="17" s="1"/>
  <c r="X13" i="17" a="1"/>
  <c r="X13" i="17" s="1"/>
  <c r="Y13" i="17" s="1"/>
  <c r="X14" i="17" a="1"/>
  <c r="X14" i="17" s="1"/>
  <c r="X15" i="17" a="1"/>
  <c r="X15" i="17" s="1"/>
  <c r="X16" i="17" a="1"/>
  <c r="X16" i="17" s="1"/>
  <c r="X17" i="17" a="1"/>
  <c r="X17" i="17" s="1"/>
  <c r="X18" i="17" a="1"/>
  <c r="X18" i="17" s="1"/>
  <c r="X19" i="17" a="1"/>
  <c r="X19" i="17" s="1"/>
  <c r="X20" i="17" a="1"/>
  <c r="X20" i="17" s="1"/>
  <c r="X21" i="17" a="1"/>
  <c r="X21" i="17" s="1"/>
  <c r="X22" i="17" a="1"/>
  <c r="X22" i="17" s="1"/>
  <c r="X23" i="17" a="1"/>
  <c r="X23" i="17" s="1"/>
  <c r="G2" i="16"/>
  <c r="N18" i="20" l="1"/>
  <c r="P12" i="20" a="1"/>
  <c r="P12" i="20" s="1"/>
  <c r="O17" i="20" a="1"/>
  <c r="O17" i="20" s="1"/>
  <c r="L16" i="20" a="1"/>
  <c r="L16" i="20" s="1"/>
  <c r="K13" i="20" a="1"/>
  <c r="K13" i="20" s="1"/>
  <c r="N11" i="20"/>
  <c r="P7" i="20" a="1"/>
  <c r="P7" i="20" s="1"/>
  <c r="P17" i="20" a="1"/>
  <c r="P17" i="20" s="1"/>
  <c r="L15" i="20" a="1"/>
  <c r="L15" i="20" s="1"/>
  <c r="N15" i="20" s="1"/>
  <c r="K11" i="20" a="1"/>
  <c r="K11" i="20" s="1"/>
  <c r="O7" i="20" a="1"/>
  <c r="O7" i="20" s="1"/>
  <c r="O14" i="20" a="1"/>
  <c r="O14" i="20" s="1"/>
  <c r="O6" i="20" a="1"/>
  <c r="O6" i="20" s="1"/>
  <c r="P10" i="20" a="1"/>
  <c r="P10" i="20" s="1"/>
  <c r="O9" i="20" a="1"/>
  <c r="O9" i="20" s="1"/>
  <c r="L12" i="20" a="1"/>
  <c r="L12" i="20" s="1"/>
  <c r="N12" i="20" s="1"/>
  <c r="L2" i="20" a="1"/>
  <c r="L2" i="20" s="1"/>
  <c r="N2" i="20" s="1"/>
  <c r="K5" i="20" a="1"/>
  <c r="K5" i="20" s="1"/>
  <c r="N13" i="20"/>
  <c r="P15" i="20" a="1"/>
  <c r="P15" i="20" s="1"/>
  <c r="P4" i="20" a="1"/>
  <c r="P4" i="20" s="1"/>
  <c r="L11" i="20" a="1"/>
  <c r="L11" i="20" s="1"/>
  <c r="O5" i="20" a="1"/>
  <c r="O5" i="20" s="1"/>
  <c r="N7" i="20"/>
  <c r="O18" i="20" a="1"/>
  <c r="O18" i="20" s="1"/>
  <c r="O10" i="20" a="1"/>
  <c r="O10" i="20" s="1"/>
  <c r="O2" i="20" a="1"/>
  <c r="O2" i="20" s="1"/>
  <c r="N6" i="20"/>
  <c r="N16" i="20"/>
  <c r="N3" i="20"/>
  <c r="N5" i="20"/>
  <c r="N10" i="20"/>
  <c r="N4" i="20"/>
  <c r="N14" i="20"/>
  <c r="N8" i="20"/>
  <c r="K12" i="20" a="1"/>
  <c r="K12" i="20" s="1"/>
  <c r="K8" i="20" a="1"/>
  <c r="K8" i="20" s="1"/>
  <c r="K4" i="20" a="1"/>
  <c r="K4" i="20" s="1"/>
  <c r="O16" i="20" a="1"/>
  <c r="O16" i="20" s="1"/>
  <c r="O12" i="20" a="1"/>
  <c r="O12" i="20" s="1"/>
  <c r="O8" i="20" a="1"/>
  <c r="O8" i="20" s="1"/>
  <c r="O4" i="20" a="1"/>
  <c r="O4" i="20" s="1"/>
  <c r="P2" i="20" a="1"/>
  <c r="P2" i="20" s="1"/>
  <c r="O3" i="20" a="1"/>
  <c r="O3" i="20" s="1"/>
  <c r="L9" i="20" a="1"/>
  <c r="L9" i="20" s="1"/>
  <c r="N9" i="20" s="1"/>
  <c r="L5" i="20" a="1"/>
  <c r="L5" i="20" s="1"/>
  <c r="K18" i="20" a="1"/>
  <c r="K18" i="20" s="1"/>
  <c r="K14" i="20" a="1"/>
  <c r="K14" i="20" s="1"/>
  <c r="K10" i="20" a="1"/>
  <c r="K10" i="20" s="1"/>
  <c r="K6" i="20" a="1"/>
  <c r="K6" i="20" s="1"/>
  <c r="K2" i="20" a="1"/>
  <c r="K2" i="20" s="1"/>
  <c r="P13" i="20" a="1"/>
  <c r="P13" i="20" s="1"/>
  <c r="P9" i="20" a="1"/>
  <c r="P9" i="20" s="1"/>
  <c r="P5" i="20" a="1"/>
  <c r="P5" i="20" s="1"/>
  <c r="T10" i="18" a="1"/>
  <c r="T10" i="18" s="1"/>
  <c r="T2" i="18" a="1"/>
  <c r="T2" i="18" s="1"/>
  <c r="S14" i="18" a="1"/>
  <c r="S14" i="18" s="1"/>
  <c r="S5" i="18" a="1"/>
  <c r="S5" i="18" s="1"/>
  <c r="P15" i="18" a="1"/>
  <c r="P15" i="18" s="1"/>
  <c r="R15" i="18" s="1"/>
  <c r="P5" i="18" a="1"/>
  <c r="P5" i="18" s="1"/>
  <c r="O13" i="18" a="1"/>
  <c r="O13" i="18" s="1"/>
  <c r="O16" i="18" a="1"/>
  <c r="O16" i="18" s="1"/>
  <c r="O8" i="18" a="1"/>
  <c r="O8" i="18" s="1"/>
  <c r="R10" i="18"/>
  <c r="P2" i="18" a="1"/>
  <c r="P2" i="18" s="1"/>
  <c r="O9" i="18" a="1"/>
  <c r="O9" i="18" s="1"/>
  <c r="T15" i="18" a="1"/>
  <c r="T15" i="18" s="1"/>
  <c r="T7" i="18" a="1"/>
  <c r="T7" i="18" s="1"/>
  <c r="S19" i="18" a="1"/>
  <c r="S19" i="18" s="1"/>
  <c r="S11" i="18" a="1"/>
  <c r="S11" i="18" s="1"/>
  <c r="P11" i="18" a="1"/>
  <c r="P11" i="18" s="1"/>
  <c r="O21" i="18" a="1"/>
  <c r="O21" i="18" s="1"/>
  <c r="T14" i="18" a="1"/>
  <c r="T14" i="18" s="1"/>
  <c r="T6" i="18" a="1"/>
  <c r="T6" i="18" s="1"/>
  <c r="S18" i="18" a="1"/>
  <c r="S18" i="18" s="1"/>
  <c r="P21" i="18" a="1"/>
  <c r="P21" i="18" s="1"/>
  <c r="R21" i="18" s="1"/>
  <c r="R20" i="18"/>
  <c r="P12" i="18" a="1"/>
  <c r="P12" i="18" s="1"/>
  <c r="R12" i="18" s="1"/>
  <c r="P4" i="18" a="1"/>
  <c r="P4" i="18" s="1"/>
  <c r="R4" i="18" s="1"/>
  <c r="S6" i="18" a="1"/>
  <c r="S6" i="18" s="1"/>
  <c r="S7" i="18" a="1"/>
  <c r="S7" i="18" s="1"/>
  <c r="P6" i="18" a="1"/>
  <c r="P6" i="18" s="1"/>
  <c r="U11" i="18"/>
  <c r="R11" i="18"/>
  <c r="U21" i="18"/>
  <c r="U5" i="18"/>
  <c r="R5" i="18"/>
  <c r="R18" i="18"/>
  <c r="U15" i="18"/>
  <c r="R14" i="18"/>
  <c r="R9" i="18"/>
  <c r="U9" i="18"/>
  <c r="U19" i="18"/>
  <c r="R19" i="18"/>
  <c r="U3" i="18"/>
  <c r="R3" i="18"/>
  <c r="U13" i="18"/>
  <c r="R13" i="18"/>
  <c r="R2" i="18"/>
  <c r="R7" i="18"/>
  <c r="U7" i="18"/>
  <c r="R17" i="18"/>
  <c r="U17" i="18"/>
  <c r="R6" i="18"/>
  <c r="S2" i="18" a="1"/>
  <c r="S2" i="18" s="1"/>
  <c r="P16" i="18" a="1"/>
  <c r="P16" i="18" s="1"/>
  <c r="R16" i="18" s="1"/>
  <c r="P8" i="18" a="1"/>
  <c r="P8" i="18" s="1"/>
  <c r="R8" i="18" s="1"/>
  <c r="O20" i="18" a="1"/>
  <c r="O20" i="18" s="1"/>
  <c r="O12" i="18" a="1"/>
  <c r="O12" i="18" s="1"/>
  <c r="O4" i="18" a="1"/>
  <c r="O4" i="18" s="1"/>
  <c r="O14" i="18" a="1"/>
  <c r="O14" i="18" s="1"/>
  <c r="O2" i="18" a="1"/>
  <c r="O2" i="18" s="1"/>
  <c r="O10" i="18" a="1"/>
  <c r="O10" i="18" s="1"/>
  <c r="O6" i="18" a="1"/>
  <c r="O6" i="18" s="1"/>
  <c r="R22" i="17" a="1"/>
  <c r="R22" i="17" s="1"/>
  <c r="R12" i="17" a="1"/>
  <c r="R12" i="17" s="1"/>
  <c r="N13" i="17" a="1"/>
  <c r="N13" i="17" s="1"/>
  <c r="O17" i="17" a="1"/>
  <c r="O17" i="17" s="1"/>
  <c r="N6" i="17" a="1"/>
  <c r="N6" i="17" s="1"/>
  <c r="S10" i="17" a="1"/>
  <c r="S10" i="17" s="1"/>
  <c r="R21" i="17" a="1"/>
  <c r="R21" i="17" s="1"/>
  <c r="R11" i="17" a="1"/>
  <c r="R11" i="17" s="1"/>
  <c r="N5" i="17" a="1"/>
  <c r="N5" i="17" s="1"/>
  <c r="T12" i="17" a="1"/>
  <c r="T12" i="17" s="1"/>
  <c r="T4" i="17" a="1"/>
  <c r="T4" i="17" s="1"/>
  <c r="S18" i="17" a="1"/>
  <c r="S18" i="17" s="1"/>
  <c r="S8" i="17" a="1"/>
  <c r="S8" i="17" s="1"/>
  <c r="R20" i="17" a="1"/>
  <c r="R20" i="17" s="1"/>
  <c r="O23" i="17" a="1"/>
  <c r="O23" i="17" s="1"/>
  <c r="N20" i="17" a="1"/>
  <c r="N20" i="17" s="1"/>
  <c r="S6" i="17" a="1"/>
  <c r="S6" i="17" s="1"/>
  <c r="R18" i="17" a="1"/>
  <c r="R18" i="17" s="1"/>
  <c r="R3" i="17" a="1"/>
  <c r="R3" i="17" s="1"/>
  <c r="O16" i="17" a="1"/>
  <c r="O16" i="17" s="1"/>
  <c r="S14" i="17" a="1"/>
  <c r="S14" i="17" s="1"/>
  <c r="S5" i="17" a="1"/>
  <c r="S5" i="17" s="1"/>
  <c r="R16" i="17" a="1"/>
  <c r="R16" i="17" s="1"/>
  <c r="O15" i="17" a="1"/>
  <c r="O15" i="17" s="1"/>
  <c r="S22" i="17" a="1"/>
  <c r="S22" i="17" s="1"/>
  <c r="S13" i="17" a="1"/>
  <c r="S13" i="17" s="1"/>
  <c r="N10" i="17" a="1"/>
  <c r="N10" i="17" s="1"/>
  <c r="N7" i="17" a="1"/>
  <c r="N7" i="17" s="1"/>
  <c r="Y3" i="17"/>
  <c r="W3" i="17"/>
  <c r="Y19" i="17"/>
  <c r="W19" i="17"/>
  <c r="R10" i="17" a="1"/>
  <c r="R10" i="17" s="1"/>
  <c r="R2" i="17" a="1"/>
  <c r="R2" i="17" s="1"/>
  <c r="O22" i="17" a="1"/>
  <c r="O22" i="17" s="1"/>
  <c r="O14" i="17" a="1"/>
  <c r="O14" i="17" s="1"/>
  <c r="O6" i="17" a="1"/>
  <c r="O6" i="17" s="1"/>
  <c r="N12" i="17" a="1"/>
  <c r="N12" i="17" s="1"/>
  <c r="Y21" i="17"/>
  <c r="Y5" i="17"/>
  <c r="S3" i="17" a="1"/>
  <c r="S3" i="17" s="1"/>
  <c r="R17" i="17" a="1"/>
  <c r="R17" i="17" s="1"/>
  <c r="R9" i="17" a="1"/>
  <c r="R9" i="17" s="1"/>
  <c r="O21" i="17" a="1"/>
  <c r="O21" i="17" s="1"/>
  <c r="O13" i="17" a="1"/>
  <c r="O13" i="17" s="1"/>
  <c r="Q13" i="17" s="1"/>
  <c r="O5" i="17" a="1"/>
  <c r="O5" i="17" s="1"/>
  <c r="N19" i="17" a="1"/>
  <c r="N19" i="17" s="1"/>
  <c r="N11" i="17" a="1"/>
  <c r="N11" i="17" s="1"/>
  <c r="R8" i="17" a="1"/>
  <c r="R8" i="17" s="1"/>
  <c r="O20" i="17" a="1"/>
  <c r="O20" i="17" s="1"/>
  <c r="O12" i="17" a="1"/>
  <c r="O12" i="17" s="1"/>
  <c r="O4" i="17" a="1"/>
  <c r="O4" i="17" s="1"/>
  <c r="Y11" i="17"/>
  <c r="S17" i="17" a="1"/>
  <c r="S17" i="17" s="1"/>
  <c r="S9" i="17" a="1"/>
  <c r="S9" i="17" s="1"/>
  <c r="R23" i="17" a="1"/>
  <c r="R23" i="17" s="1"/>
  <c r="R15" i="17" a="1"/>
  <c r="R15" i="17" s="1"/>
  <c r="R7" i="17" a="1"/>
  <c r="R7" i="17" s="1"/>
  <c r="O19" i="17" a="1"/>
  <c r="O19" i="17" s="1"/>
  <c r="O11" i="17" a="1"/>
  <c r="O11" i="17" s="1"/>
  <c r="Q11" i="17" s="1"/>
  <c r="O3" i="17" a="1"/>
  <c r="O3" i="17" s="1"/>
  <c r="N17" i="17" a="1"/>
  <c r="N17" i="17" s="1"/>
  <c r="N9" i="17" a="1"/>
  <c r="N9" i="17" s="1"/>
  <c r="O18" i="17" a="1"/>
  <c r="O18" i="17" s="1"/>
  <c r="O10" i="17" a="1"/>
  <c r="O10" i="17" s="1"/>
  <c r="O2" i="17" a="1"/>
  <c r="O2" i="17" s="1"/>
  <c r="N16" i="17" a="1"/>
  <c r="N16" i="17" s="1"/>
  <c r="N8" i="17" a="1"/>
  <c r="N8" i="17" s="1"/>
  <c r="Y17" i="17"/>
  <c r="Q17" i="17" s="1"/>
  <c r="Y9" i="17"/>
  <c r="R5" i="17" a="1"/>
  <c r="R5" i="17" s="1"/>
  <c r="O9" i="17" a="1"/>
  <c r="O9" i="17" s="1"/>
  <c r="N23" i="17" a="1"/>
  <c r="N23" i="17" s="1"/>
  <c r="N15" i="17" a="1"/>
  <c r="N15" i="17" s="1"/>
  <c r="N3" i="17" a="1"/>
  <c r="N3" i="17" s="1"/>
  <c r="O8" i="17" a="1"/>
  <c r="O8" i="17" s="1"/>
  <c r="N22" i="17" a="1"/>
  <c r="N22" i="17" s="1"/>
  <c r="N14" i="17" a="1"/>
  <c r="N14" i="17" s="1"/>
  <c r="N2" i="17" a="1"/>
  <c r="N2" i="17" s="1"/>
  <c r="Y8" i="17"/>
  <c r="W8" i="17"/>
  <c r="Y23" i="17"/>
  <c r="Q23" i="17" s="1"/>
  <c r="Y18" i="17"/>
  <c r="W18" i="17"/>
  <c r="Y7" i="17"/>
  <c r="Q7" i="17" s="1"/>
  <c r="Y2" i="17"/>
  <c r="W2" i="17"/>
  <c r="W12" i="17"/>
  <c r="Y12" i="17"/>
  <c r="Q12" i="17" s="1"/>
  <c r="W14" i="17"/>
  <c r="Y14" i="17"/>
  <c r="Q14" i="17" s="1"/>
  <c r="W22" i="17"/>
  <c r="Y22" i="17"/>
  <c r="Q22" i="17" s="1"/>
  <c r="W6" i="17"/>
  <c r="Y6" i="17"/>
  <c r="Y16" i="17"/>
  <c r="Q16" i="17" s="1"/>
  <c r="W16" i="17"/>
  <c r="Y15" i="17"/>
  <c r="Q15" i="17" s="1"/>
  <c r="Y10" i="17"/>
  <c r="W10" i="17"/>
  <c r="W20" i="17"/>
  <c r="Y20" i="17"/>
  <c r="Q20" i="17" s="1"/>
  <c r="W4" i="17"/>
  <c r="Y4" i="17"/>
  <c r="N4" i="17" a="1"/>
  <c r="N4" i="17" s="1"/>
  <c r="Q5" i="17" l="1"/>
  <c r="Q10" i="17"/>
  <c r="Q3" i="17"/>
  <c r="Q18" i="17"/>
  <c r="Q4" i="17"/>
  <c r="Q2" i="17"/>
  <c r="Q9" i="17"/>
  <c r="Q21" i="17"/>
  <c r="Q19" i="17"/>
  <c r="Q8" i="17"/>
  <c r="Q6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uizm\OneDrive\desktop\aula - arena\trabalho - arena\luizmario_170121941_projetoa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uizm\OneDrive\desktop\aula - arena\trabalho - arena\luizmario_170121941_projetoa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uizm\OneDrive\desktop\aula - arena\trabalho - arena\luizmario_170121941_projetoa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uizm\OneDrive\desktop\aula - arena\trabalho - arena\luizmario_170121941_projetoa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uizm\OneDrive\desktop\aula - arena\trabalho - arena\luizmario_170121941_projetoa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uizm\OneDrive\desktop\aula - arena\trabalho - arena\luizmario_170121941_projetoa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<sst xmlns="http://schemas.openxmlformats.org/spreadsheetml/2006/main" count="616" uniqueCount="119">
  <si>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</si>
  <si>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</si>
  <si>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</si>
  <si>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</si>
  <si>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</si>
  <si>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</si>
  <si>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</si>
  <si>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</si>
  <si>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</si>
  <si>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</si>
  <si>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</si>
  <si>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</si>
  <si>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</si>
  <si>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</si>
  <si>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</si>
  <si>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</si>
  <si>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</si>
  <si>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</si>
  <si>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</si>
  <si>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</si>
  <si>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</si>
  <si>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</si>
  <si>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</si>
  <si>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</si>
  <si>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</si>
  <si>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</si>
  <si>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</si>
  <si>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</si>
  <si>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</si>
  <si>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</si>
  <si>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</si>
  <si>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</si>
  <si>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</si>
  <si>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</si>
  <si>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</si>
  <si>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</si>
  <si>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</si>
  <si>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</si>
  <si>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</si>
  <si>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</si>
  <si>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</si>
  <si>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</si>
  <si>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</si>
  <si>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</si>
  <si>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</si>
  <si>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</si>
  <si>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</si>
  <si>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</si>
  <si>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</si>
  <si>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</si>
  <si>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</si>
  <si>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</si>
  <si>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</si>
  <si>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</si>
  <si>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</si>
  <si>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</si>
  <si>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</si>
  <si>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</si>
  <si>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</si>
  <si>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</si>
  <si>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</si>
  <si>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</si>
  <si>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</si>
  <si>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</si>
  <si>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</si>
  <si>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</si>
  <si>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</si>
  <si>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C:\Users\luizm\OneDrive\Desktop\Aula - Arena\Trabalho - Arena\LuizMario_170121941_ProjetoA.p</t>
  </si>
  <si>
    <t>2023-02-10 15:40:47</t>
  </si>
  <si>
    <t>PART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</si>
  <si>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</si>
  <si>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</si>
  <si>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</si>
  <si>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</si>
  <si>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</si>
  <si>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</si>
  <si>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</si>
  <si>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PART 2</t>
  </si>
  <si>
    <t>PART 3</t>
  </si>
  <si>
    <t>Processo A.Queue</t>
  </si>
  <si>
    <t>Waiting Time</t>
  </si>
  <si>
    <t>Queue</t>
  </si>
  <si>
    <t>Processo B.Queue</t>
  </si>
  <si>
    <t>Processo C.Queue</t>
  </si>
  <si>
    <t>Processo D.Queue</t>
  </si>
  <si>
    <t>OPERADOR_A</t>
  </si>
  <si>
    <t>Instantaneous Utilization</t>
  </si>
  <si>
    <t>Resource</t>
  </si>
  <si>
    <t>Number Busy</t>
  </si>
  <si>
    <t>Number Scheduled</t>
  </si>
  <si>
    <t>OPERADOR_B</t>
  </si>
  <si>
    <t>OPERADOR_C</t>
  </si>
  <si>
    <t>OPERADOR_D</t>
  </si>
  <si>
    <t>PART</t>
  </si>
  <si>
    <t>WIP</t>
  </si>
  <si>
    <t>Number Waiting</t>
  </si>
  <si>
    <t>OPERADOR_A.NumberSeized</t>
  </si>
  <si>
    <t>Total Number Seized</t>
  </si>
  <si>
    <t>OPERADOR_A.ScheduledUtilization</t>
  </si>
  <si>
    <t>Scheduled Utilization</t>
  </si>
  <si>
    <t>OPERADOR_B.NumberSeized</t>
  </si>
  <si>
    <t>OPERADOR_B.ScheduledUtilization</t>
  </si>
  <si>
    <t>OPERADOR_C.NumberSeized</t>
  </si>
  <si>
    <t>OPERADOR_C.ScheduledUtilization</t>
  </si>
  <si>
    <t>OPERADOR_D.NumberSeized</t>
  </si>
  <si>
    <t>OPERADOR_D.ScheduledUtilization</t>
  </si>
  <si>
    <t>PART 1.NumberIn</t>
  </si>
  <si>
    <t>Number In</t>
  </si>
  <si>
    <t>PART 1.NumberOut</t>
  </si>
  <si>
    <t>Number Out</t>
  </si>
  <si>
    <t>PART 2.NumberIn</t>
  </si>
  <si>
    <t>PART 2.NumberOut</t>
  </si>
  <si>
    <t>PART 3.NumberIn</t>
  </si>
  <si>
    <t>PART 3.NumberOut</t>
  </si>
  <si>
    <t>PART.NumberIn</t>
  </si>
  <si>
    <t>PART.NumberOut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</si>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</sst>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67.65350925926" createdVersion="7" refreshedVersion="8" minRefreshableVersion="3" recordCount="2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6">
        <s v="OPERADOR_A"/>
        <s v="OPERADOR_B"/>
        <s v="OPERADOR_C"/>
        <s v="OPERADOR_D"/>
        <s v="PART"/>
        <s v="PART 1"/>
        <s v="PART 2"/>
        <s v="PART 3"/>
        <s v="Processo A.Queue"/>
        <s v="Processo B.Queue"/>
        <s v="Processo C.Queue"/>
        <s v="Processo D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" maxValue="2"/>
    </cacheField>
    <cacheField name="BatchMeansHalfWidth" numFmtId="0">
      <sharedItems containsSemiMixedTypes="0" containsString="0" containsNumber="1" minValue="4.4675360946001298E-4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0" maxValue="4"/>
    </cacheField>
    <cacheField name="LastRecordedValue" numFmtId="0">
      <sharedItems containsSemiMixedTypes="0" containsString="0" containsNumber="1" containsInteger="1" minValue="0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2"/>
    </cacheField>
    <cacheField name="MaximumAverage" numFmtId="0">
      <sharedItems containsSemiMixedTypes="0" containsString="0" containsNumber="1" minValue="0" maxValue="2"/>
    </cacheField>
    <cacheField name="SummaryHalfWidth" numFmtId="0">
      <sharedItems containsSemiMixedTypes="0" containsString="0" containsNumber="1" minValue="4.4675360946001298E-4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67.653509490738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67.653509490738" createdVersion="7" refreshedVersion="8" minRefreshableVersion="3" recordCount="22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6">
        <s v="PART 1"/>
        <s v="PART 2"/>
        <s v="PART 3"/>
        <s v="Processo A.Queue"/>
        <s v="Processo B.Queue"/>
        <s v="Processo C.Queue"/>
        <s v="Processo D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8.6398437777232893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8.0590501276929007"/>
    </cacheField>
    <cacheField name="Maximum" numFmtId="0">
      <sharedItems containsSemiMixedTypes="0" containsString="0" containsNumber="1" minValue="0" maxValue="10.519534639596699"/>
    </cacheField>
    <cacheField name="NumberObservations" numFmtId="0">
      <sharedItems containsSemiMixedTypes="0" containsString="0" containsNumber="1" containsInteger="1" minValue="621" maxValue="191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8.639843777723289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8.6398437777232893"/>
    </cacheField>
    <cacheField name="MaximumAverage" numFmtId="0">
      <sharedItems containsSemiMixedTypes="0" containsString="0" containsNumber="1" minValue="0" maxValue="8.6398437777232893"/>
    </cacheField>
    <cacheField name="OverallMinimum" numFmtId="0">
      <sharedItems containsSemiMixedTypes="0" containsString="0" containsNumber="1" minValue="0" maxValue="8.0590501276929007"/>
    </cacheField>
    <cacheField name="OverallMaximum" numFmtId="0">
      <sharedItems containsSemiMixedTypes="0" containsString="0" containsNumber="1" minValue="0" maxValue="10.519534639596699"/>
    </cacheField>
    <cacheField name="AverageNumberObservations" numFmtId="0">
      <sharedItems containsSemiMixedTypes="0" containsString="0" containsNumber="1" containsInteger="1" minValue="621" maxValue="1913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67.653509606484" createdVersion="7" refreshedVersion="8" minRefreshableVersion="3" recordCount="1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95">
        <s v="OPERADOR_A.NumberSeized"/>
        <s v="OPERADOR_A.ScheduledUtilization"/>
        <s v="OPERADOR_B.NumberSeized"/>
        <s v="OPERADOR_B.ScheduledUtilization"/>
        <s v="OPERADOR_C.NumberSeized"/>
        <s v="OPERADOR_C.ScheduledUtilization"/>
        <s v="OPERADOR_D.NumberSeized"/>
        <s v="OPERADOR_D.ScheduledUtilization"/>
        <s v="PART 1.NumberIn"/>
        <s v="PART 1.NumberOut"/>
        <s v="PART 2.NumberIn"/>
        <s v="PART 2.NumberOut"/>
        <s v="PART 3.NumberIn"/>
        <s v="PART 3.NumberOut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4.0131457124476201E-3" maxValue="191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4.0131457124476201E-3" maxValue="1913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4.0131457124476201E-3" maxValue="1913"/>
    </cacheField>
    <cacheField name="Maximum" numFmtId="0">
      <sharedItems containsSemiMixedTypes="0" containsString="0" containsNumber="1" minValue="4.0131457124476201E-3" maxValue="1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67.65350972222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2023-02-10 15:40:47"/>
    <n v="1"/>
    <x v="0"/>
    <x v="0"/>
    <x v="0"/>
    <n v="9.1889353799584003E-3"/>
    <n v="5.7701342153944899E-4"/>
    <n v="0"/>
    <n v="1"/>
    <n v="0"/>
    <n v="0"/>
    <s v="Unnamed ProjectOPERADOR_AInstantaneous UtilizationResource"/>
    <n v="1"/>
    <n v="9.1889353799584003E-3"/>
    <n v="0"/>
    <n v="0.95"/>
    <n v="4E+20"/>
    <n v="9.1889353799584003E-3"/>
    <n v="9.1889353799584003E-3"/>
    <n v="5.7701342153944899E-4"/>
  </r>
  <r>
    <x v="0"/>
    <s v="2023-02-10 15:40:47"/>
    <n v="1"/>
    <x v="0"/>
    <x v="1"/>
    <x v="0"/>
    <n v="1.8377870759916801E-2"/>
    <n v="1.1540268430788999E-3"/>
    <n v="0"/>
    <n v="2"/>
    <n v="0"/>
    <n v="0"/>
    <s v="Unnamed ProjectOPERADOR_ANumber BusyResource"/>
    <n v="1"/>
    <n v="1.8377870759916801E-2"/>
    <n v="0"/>
    <n v="0.95"/>
    <n v="4E+20"/>
    <n v="1.8377870759916801E-2"/>
    <n v="1.8377870759916801E-2"/>
    <n v="1.1540268430788999E-3"/>
  </r>
  <r>
    <x v="0"/>
    <s v="2023-02-10 15:40:47"/>
    <n v="1"/>
    <x v="0"/>
    <x v="2"/>
    <x v="0"/>
    <n v="2"/>
    <n v="2E+20"/>
    <n v="2"/>
    <n v="2"/>
    <n v="2"/>
    <n v="0"/>
    <s v="Unnamed ProjectOPERADOR_ANumber ScheduledResource"/>
    <n v="1"/>
    <n v="2"/>
    <n v="0"/>
    <n v="0.95"/>
    <n v="4E+20"/>
    <n v="2"/>
    <n v="2"/>
    <n v="2E+20"/>
  </r>
  <r>
    <x v="0"/>
    <s v="2023-02-10 15:40:47"/>
    <n v="1"/>
    <x v="1"/>
    <x v="0"/>
    <x v="0"/>
    <n v="2.1291951175662498E-2"/>
    <n v="1.4028844178007899E-3"/>
    <n v="0"/>
    <n v="1"/>
    <n v="0"/>
    <n v="0"/>
    <s v="Unnamed ProjectOPERADOR_BInstantaneous UtilizationResource"/>
    <n v="1"/>
    <n v="2.1291951175662498E-2"/>
    <n v="0"/>
    <n v="0.95"/>
    <n v="4E+20"/>
    <n v="2.1291951175662498E-2"/>
    <n v="2.1291951175662498E-2"/>
    <n v="1.4028844178007899E-3"/>
  </r>
  <r>
    <x v="0"/>
    <s v="2023-02-10 15:40:47"/>
    <n v="1"/>
    <x v="1"/>
    <x v="1"/>
    <x v="0"/>
    <n v="2.1291951175662498E-2"/>
    <n v="1.4028844178007899E-3"/>
    <n v="0"/>
    <n v="1"/>
    <n v="0"/>
    <n v="0"/>
    <s v="Unnamed ProjectOPERADOR_BNumber BusyResource"/>
    <n v="1"/>
    <n v="2.1291951175662498E-2"/>
    <n v="0"/>
    <n v="0.95"/>
    <n v="4E+20"/>
    <n v="2.1291951175662498E-2"/>
    <n v="2.1291951175662498E-2"/>
    <n v="1.4028844178007899E-3"/>
  </r>
  <r>
    <x v="0"/>
    <s v="2023-02-10 15:40:47"/>
    <n v="1"/>
    <x v="1"/>
    <x v="2"/>
    <x v="0"/>
    <n v="1"/>
    <n v="2E+20"/>
    <n v="1"/>
    <n v="1"/>
    <n v="1"/>
    <n v="0"/>
    <s v="Unnamed ProjectOPERADOR_BNumber ScheduledResource"/>
    <n v="1"/>
    <n v="1"/>
    <n v="0"/>
    <n v="0.95"/>
    <n v="4E+20"/>
    <n v="1"/>
    <n v="1"/>
    <n v="2E+20"/>
  </r>
  <r>
    <x v="0"/>
    <s v="2023-02-10 15:40:47"/>
    <n v="1"/>
    <x v="2"/>
    <x v="0"/>
    <x v="0"/>
    <n v="1.24524287545966E-2"/>
    <n v="1.1027464893348E-3"/>
    <n v="0"/>
    <n v="1"/>
    <n v="0"/>
    <n v="0"/>
    <s v="Unnamed ProjectOPERADOR_CInstantaneous UtilizationResource"/>
    <n v="1"/>
    <n v="1.24524287545966E-2"/>
    <n v="0"/>
    <n v="0.95"/>
    <n v="4E+20"/>
    <n v="1.24524287545966E-2"/>
    <n v="1.24524287545966E-2"/>
    <n v="1.1027464893348E-3"/>
  </r>
  <r>
    <x v="0"/>
    <s v="2023-02-10 15:40:47"/>
    <n v="1"/>
    <x v="2"/>
    <x v="1"/>
    <x v="0"/>
    <n v="1.24524287545966E-2"/>
    <n v="1.1027464893348E-3"/>
    <n v="0"/>
    <n v="1"/>
    <n v="0"/>
    <n v="0"/>
    <s v="Unnamed ProjectOPERADOR_CNumber BusyResource"/>
    <n v="1"/>
    <n v="1.24524287545966E-2"/>
    <n v="0"/>
    <n v="0.95"/>
    <n v="4E+20"/>
    <n v="1.24524287545966E-2"/>
    <n v="1.24524287545966E-2"/>
    <n v="1.1027464893348E-3"/>
  </r>
  <r>
    <x v="0"/>
    <s v="2023-02-10 15:40:47"/>
    <n v="1"/>
    <x v="2"/>
    <x v="2"/>
    <x v="0"/>
    <n v="1"/>
    <n v="2E+20"/>
    <n v="1"/>
    <n v="1"/>
    <n v="1"/>
    <n v="0"/>
    <s v="Unnamed ProjectOPERADOR_CNumber ScheduledResource"/>
    <n v="1"/>
    <n v="1"/>
    <n v="0"/>
    <n v="0.95"/>
    <n v="4E+20"/>
    <n v="1"/>
    <n v="1"/>
    <n v="2E+20"/>
  </r>
  <r>
    <x v="0"/>
    <s v="2023-02-10 15:40:47"/>
    <n v="1"/>
    <x v="3"/>
    <x v="0"/>
    <x v="0"/>
    <n v="4.0131457124476201E-3"/>
    <n v="4.4675360946001298E-4"/>
    <n v="0"/>
    <n v="1"/>
    <n v="0"/>
    <n v="0"/>
    <s v="Unnamed ProjectOPERADOR_DInstantaneous UtilizationResource"/>
    <n v="1"/>
    <n v="4.0131457124476201E-3"/>
    <n v="0"/>
    <n v="0.95"/>
    <n v="4E+20"/>
    <n v="4.0131457124476201E-3"/>
    <n v="4.0131457124476201E-3"/>
    <n v="4.4675360946001298E-4"/>
  </r>
  <r>
    <x v="0"/>
    <s v="2023-02-10 15:40:47"/>
    <n v="1"/>
    <x v="3"/>
    <x v="1"/>
    <x v="0"/>
    <n v="4.0131457124476201E-3"/>
    <n v="4.4675360946001298E-4"/>
    <n v="0"/>
    <n v="1"/>
    <n v="0"/>
    <n v="0"/>
    <s v="Unnamed ProjectOPERADOR_DNumber BusyResource"/>
    <n v="1"/>
    <n v="4.0131457124476201E-3"/>
    <n v="0"/>
    <n v="0.95"/>
    <n v="4E+20"/>
    <n v="4.0131457124476201E-3"/>
    <n v="4.0131457124476201E-3"/>
    <n v="4.4675360946001298E-4"/>
  </r>
  <r>
    <x v="0"/>
    <s v="2023-02-10 15:40:47"/>
    <n v="1"/>
    <x v="3"/>
    <x v="2"/>
    <x v="0"/>
    <n v="1"/>
    <n v="2E+20"/>
    <n v="1"/>
    <n v="1"/>
    <n v="1"/>
    <n v="0"/>
    <s v="Unnamed ProjectOPERADOR_DNumber ScheduledResource"/>
    <n v="1"/>
    <n v="1"/>
    <n v="0"/>
    <n v="0.95"/>
    <n v="4E+20"/>
    <n v="1"/>
    <n v="1"/>
    <n v="2E+20"/>
  </r>
  <r>
    <x v="0"/>
    <s v="2023-02-10 15:40:47"/>
    <n v="1"/>
    <x v="4"/>
    <x v="3"/>
    <x v="1"/>
    <n v="0"/>
    <n v="2E+20"/>
    <n v="0"/>
    <n v="1"/>
    <n v="0"/>
    <n v="0"/>
    <s v="Unnamed ProjectPARTWIPEntity"/>
    <n v="1"/>
    <n v="0"/>
    <n v="0"/>
    <n v="0.95"/>
    <n v="4E+20"/>
    <n v="0"/>
    <n v="0"/>
    <n v="2E+20"/>
  </r>
  <r>
    <x v="0"/>
    <s v="2023-02-10 15:40:47"/>
    <n v="1"/>
    <x v="5"/>
    <x v="3"/>
    <x v="1"/>
    <n v="0.28036293058712097"/>
    <n v="2.18371683604347E-2"/>
    <n v="0"/>
    <n v="4"/>
    <n v="0"/>
    <n v="0"/>
    <s v="Unnamed ProjectPART 1WIPEntity"/>
    <n v="1"/>
    <n v="0.28036293058712097"/>
    <n v="0"/>
    <n v="0.95"/>
    <n v="4E+20"/>
    <n v="0.28036293058712097"/>
    <n v="0.28036293058712097"/>
    <n v="2.18371683604347E-2"/>
  </r>
  <r>
    <x v="0"/>
    <s v="2023-02-10 15:40:47"/>
    <n v="1"/>
    <x v="6"/>
    <x v="3"/>
    <x v="1"/>
    <n v="0.27660822882568298"/>
    <n v="2.0167565350709502E-2"/>
    <n v="0"/>
    <n v="3"/>
    <n v="1"/>
    <n v="0"/>
    <s v="Unnamed ProjectPART 2WIPEntity"/>
    <n v="1"/>
    <n v="0.27660822882568298"/>
    <n v="0"/>
    <n v="0.95"/>
    <n v="4E+20"/>
    <n v="0.27660822882568298"/>
    <n v="0.27660822882568298"/>
    <n v="2.0167565350709502E-2"/>
  </r>
  <r>
    <x v="0"/>
    <s v="2023-02-10 15:40:47"/>
    <n v="1"/>
    <x v="7"/>
    <x v="3"/>
    <x v="1"/>
    <n v="0.26515112730766299"/>
    <n v="2.16104500415879E-2"/>
    <n v="0"/>
    <n v="4"/>
    <n v="0"/>
    <n v="0"/>
    <s v="Unnamed ProjectPART 3WIPEntity"/>
    <n v="1"/>
    <n v="0.26515112730766299"/>
    <n v="0"/>
    <n v="0.95"/>
    <n v="4E+20"/>
    <n v="0.26515112730766299"/>
    <n v="0.26515112730766299"/>
    <n v="2.16104500415879E-2"/>
  </r>
  <r>
    <x v="0"/>
    <s v="2023-02-10 15:40:47"/>
    <n v="1"/>
    <x v="8"/>
    <x v="4"/>
    <x v="2"/>
    <n v="0"/>
    <n v="2E+20"/>
    <n v="0"/>
    <n v="0"/>
    <n v="0"/>
    <n v="0"/>
    <s v="Unnamed ProjectProcesso A.QueueNumber WaitingQueue"/>
    <n v="1"/>
    <n v="0"/>
    <n v="0"/>
    <n v="0.95"/>
    <n v="4E+20"/>
    <n v="0"/>
    <n v="0"/>
    <n v="2E+20"/>
  </r>
  <r>
    <x v="0"/>
    <s v="2023-02-10 15:40:47"/>
    <n v="1"/>
    <x v="9"/>
    <x v="4"/>
    <x v="2"/>
    <n v="4.8899993495861601E-4"/>
    <n v="2E+20"/>
    <n v="0"/>
    <n v="1"/>
    <n v="0"/>
    <n v="0"/>
    <s v="Unnamed ProjectProcesso B.QueueNumber WaitingQueue"/>
    <n v="1"/>
    <n v="4.8899993495861601E-4"/>
    <n v="0"/>
    <n v="0.95"/>
    <n v="4E+20"/>
    <n v="4.8899993495861601E-4"/>
    <n v="4.8899993495861601E-4"/>
    <n v="2E+20"/>
  </r>
  <r>
    <x v="0"/>
    <s v="2023-02-10 15:40:47"/>
    <n v="1"/>
    <x v="10"/>
    <x v="4"/>
    <x v="2"/>
    <n v="4.4451545920151702E-4"/>
    <n v="2E+20"/>
    <n v="0"/>
    <n v="2"/>
    <n v="0"/>
    <n v="0"/>
    <s v="Unnamed ProjectProcesso C.QueueNumber WaitingQueue"/>
    <n v="1"/>
    <n v="4.4451545920151702E-4"/>
    <n v="0"/>
    <n v="0.95"/>
    <n v="4E+20"/>
    <n v="4.4451545920151702E-4"/>
    <n v="4.4451545920151702E-4"/>
    <n v="2E+20"/>
  </r>
  <r>
    <x v="0"/>
    <s v="2023-02-10 15:40:47"/>
    <n v="1"/>
    <x v="11"/>
    <x v="4"/>
    <x v="2"/>
    <n v="5.36310967563622E-6"/>
    <n v="2E+20"/>
    <n v="0"/>
    <n v="1"/>
    <n v="0"/>
    <n v="0"/>
    <s v="Unnamed ProjectProcesso D.QueueNumber WaitingQueue"/>
    <n v="1"/>
    <n v="5.36310967563622E-6"/>
    <n v="0"/>
    <n v="0.95"/>
    <n v="4E+20"/>
    <n v="5.36310967563622E-6"/>
    <n v="5.36310967563622E-6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s v="2023-02-10 15:40:47"/>
    <n v="1"/>
    <x v="0"/>
    <x v="0"/>
    <x v="0"/>
    <n v="0"/>
    <n v="0"/>
    <n v="0"/>
    <n v="0"/>
    <n v="649"/>
    <s v="Unnamed ProjectPART 1NVA TimeEntity"/>
    <n v="1"/>
    <n v="0"/>
    <n v="0"/>
    <n v="0.95"/>
    <n v="4E+20"/>
    <n v="0"/>
    <n v="0"/>
    <n v="0"/>
    <n v="0"/>
    <n v="649"/>
    <n v="0"/>
    <n v="1"/>
    <n v="1"/>
  </r>
  <r>
    <x v="0"/>
    <s v="2023-02-10 15:40:47"/>
    <n v="1"/>
    <x v="0"/>
    <x v="1"/>
    <x v="0"/>
    <n v="0"/>
    <n v="0"/>
    <n v="0"/>
    <n v="0"/>
    <n v="649"/>
    <s v="Unnamed ProjectPART 1Other TimeEntity"/>
    <n v="1"/>
    <n v="0"/>
    <n v="0"/>
    <n v="0.95"/>
    <n v="4E+20"/>
    <n v="0"/>
    <n v="0"/>
    <n v="0"/>
    <n v="0"/>
    <n v="649"/>
    <n v="0"/>
    <n v="1"/>
    <n v="1"/>
  </r>
  <r>
    <x v="0"/>
    <s v="2023-02-10 15:40:47"/>
    <n v="1"/>
    <x v="0"/>
    <x v="2"/>
    <x v="0"/>
    <n v="8.6398437777232893"/>
    <n v="3.2931075731287299E-2"/>
    <n v="8.0434492550557497"/>
    <n v="10.428004600329601"/>
    <n v="649"/>
    <s v="Unnamed ProjectPART 1Total TimeEntity"/>
    <n v="1"/>
    <n v="8.6398437777232893"/>
    <n v="0"/>
    <n v="0.95"/>
    <n v="4E+20"/>
    <n v="8.6398437777232893"/>
    <n v="8.6398437777232893"/>
    <n v="8.0434492550557497"/>
    <n v="10.428004600329601"/>
    <n v="649"/>
    <n v="3.2931075731287299E-2"/>
    <n v="1"/>
    <n v="1"/>
  </r>
  <r>
    <x v="0"/>
    <s v="2023-02-10 15:40:47"/>
    <n v="1"/>
    <x v="0"/>
    <x v="3"/>
    <x v="0"/>
    <n v="8"/>
    <n v="3E+20"/>
    <n v="7.9999999999999698"/>
    <n v="8"/>
    <n v="649"/>
    <s v="Unnamed ProjectPART 1Transfer TimeEntity"/>
    <n v="1"/>
    <n v="8"/>
    <n v="0"/>
    <n v="0.95"/>
    <n v="4E+20"/>
    <n v="8"/>
    <n v="8"/>
    <n v="7.9999999999999698"/>
    <n v="8"/>
    <n v="649"/>
    <n v="3E+20"/>
    <n v="1"/>
    <n v="1"/>
  </r>
  <r>
    <x v="0"/>
    <s v="2023-02-10 15:40:47"/>
    <n v="1"/>
    <x v="0"/>
    <x v="4"/>
    <x v="0"/>
    <n v="0.62730085144314196"/>
    <n v="3.0856621714029399E-2"/>
    <n v="4.3449255055747898E-2"/>
    <n v="2.4280046003295901"/>
    <n v="649"/>
    <s v="Unnamed ProjectPART 1VA TimeEntity"/>
    <n v="1"/>
    <n v="0.62730085144314196"/>
    <n v="0"/>
    <n v="0.95"/>
    <n v="4E+20"/>
    <n v="0.62730085144314196"/>
    <n v="0.62730085144314196"/>
    <n v="4.3449255055747898E-2"/>
    <n v="2.4280046003295901"/>
    <n v="649"/>
    <n v="3.0856621714029399E-2"/>
    <n v="1"/>
    <n v="1"/>
  </r>
  <r>
    <x v="0"/>
    <s v="2023-02-10 15:40:47"/>
    <n v="1"/>
    <x v="0"/>
    <x v="5"/>
    <x v="0"/>
    <n v="1.25429262801525E-2"/>
    <n v="1.10575452052074E-2"/>
    <n v="0"/>
    <n v="1.52032113535824"/>
    <n v="649"/>
    <s v="Unnamed ProjectPART 1Wait TimeEntity"/>
    <n v="1"/>
    <n v="1.25429262801525E-2"/>
    <n v="0"/>
    <n v="0.95"/>
    <n v="4E+20"/>
    <n v="1.25429262801525E-2"/>
    <n v="1.25429262801525E-2"/>
    <n v="0"/>
    <n v="1.52032113535824"/>
    <n v="649"/>
    <n v="1.10575452052074E-2"/>
    <n v="1"/>
    <n v="1"/>
  </r>
  <r>
    <x v="0"/>
    <s v="2023-02-10 15:40:47"/>
    <n v="1"/>
    <x v="1"/>
    <x v="0"/>
    <x v="0"/>
    <n v="0"/>
    <n v="0"/>
    <n v="0"/>
    <n v="0"/>
    <n v="642"/>
    <s v="Unnamed ProjectPART 2NVA TimeEntity"/>
    <n v="1"/>
    <n v="0"/>
    <n v="0"/>
    <n v="0.95"/>
    <n v="4E+20"/>
    <n v="0"/>
    <n v="0"/>
    <n v="0"/>
    <n v="0"/>
    <n v="642"/>
    <n v="0"/>
    <n v="1"/>
    <n v="1"/>
  </r>
  <r>
    <x v="0"/>
    <s v="2023-02-10 15:40:47"/>
    <n v="1"/>
    <x v="1"/>
    <x v="1"/>
    <x v="0"/>
    <n v="0"/>
    <n v="0"/>
    <n v="0"/>
    <n v="0"/>
    <n v="642"/>
    <s v="Unnamed ProjectPART 2Other TimeEntity"/>
    <n v="1"/>
    <n v="0"/>
    <n v="0"/>
    <n v="0.95"/>
    <n v="4E+20"/>
    <n v="0"/>
    <n v="0"/>
    <n v="0"/>
    <n v="0"/>
    <n v="642"/>
    <n v="0"/>
    <n v="1"/>
    <n v="1"/>
  </r>
  <r>
    <x v="0"/>
    <s v="2023-02-10 15:40:47"/>
    <n v="1"/>
    <x v="1"/>
    <x v="2"/>
    <x v="0"/>
    <n v="8.6080688587269805"/>
    <n v="3.2631226174398502E-2"/>
    <n v="8.0417229042541294"/>
    <n v="10.519534639596699"/>
    <n v="642"/>
    <s v="Unnamed ProjectPART 2Total TimeEntity"/>
    <n v="1"/>
    <n v="8.6080688587269805"/>
    <n v="0"/>
    <n v="0.95"/>
    <n v="4E+20"/>
    <n v="8.6080688587269805"/>
    <n v="8.6080688587269805"/>
    <n v="8.0417229042541294"/>
    <n v="10.519534639596699"/>
    <n v="642"/>
    <n v="3.2631226174398502E-2"/>
    <n v="1"/>
    <n v="1"/>
  </r>
  <r>
    <x v="0"/>
    <s v="2023-02-10 15:40:47"/>
    <n v="1"/>
    <x v="1"/>
    <x v="3"/>
    <x v="0"/>
    <n v="8"/>
    <n v="0"/>
    <n v="8"/>
    <n v="8"/>
    <n v="642"/>
    <s v="Unnamed ProjectPART 2Transfer TimeEntity"/>
    <n v="1"/>
    <n v="8"/>
    <n v="0"/>
    <n v="0.95"/>
    <n v="4E+20"/>
    <n v="8"/>
    <n v="8"/>
    <n v="8"/>
    <n v="8"/>
    <n v="642"/>
    <n v="0"/>
    <n v="1"/>
    <n v="1"/>
  </r>
  <r>
    <x v="0"/>
    <s v="2023-02-10 15:40:47"/>
    <n v="1"/>
    <x v="1"/>
    <x v="4"/>
    <x v="0"/>
    <n v="0.59600966558803803"/>
    <n v="3.1830646811063602E-2"/>
    <n v="4.1722904254129403E-2"/>
    <n v="2.51953463959671"/>
    <n v="642"/>
    <s v="Unnamed ProjectPART 2VA TimeEntity"/>
    <n v="1"/>
    <n v="0.59600966558803803"/>
    <n v="0"/>
    <n v="0.95"/>
    <n v="4E+20"/>
    <n v="0.59600966558803803"/>
    <n v="0.59600966558803803"/>
    <n v="4.1722904254129403E-2"/>
    <n v="2.51953463959671"/>
    <n v="642"/>
    <n v="3.1830646811063602E-2"/>
    <n v="1"/>
    <n v="1"/>
  </r>
  <r>
    <x v="0"/>
    <s v="2023-02-10 15:40:47"/>
    <n v="1"/>
    <x v="1"/>
    <x v="5"/>
    <x v="0"/>
    <n v="1.20591931389376E-2"/>
    <n v="3E+20"/>
    <n v="0"/>
    <n v="1.1737997348736799"/>
    <n v="642"/>
    <s v="Unnamed ProjectPART 2Wait TimeEntity"/>
    <n v="1"/>
    <n v="1.20591931389376E-2"/>
    <n v="0"/>
    <n v="0.95"/>
    <n v="4E+20"/>
    <n v="1.20591931389376E-2"/>
    <n v="1.20591931389376E-2"/>
    <n v="0"/>
    <n v="1.1737997348736799"/>
    <n v="642"/>
    <n v="3E+20"/>
    <n v="1"/>
    <n v="1"/>
  </r>
  <r>
    <x v="0"/>
    <s v="2023-02-10 15:40:47"/>
    <n v="1"/>
    <x v="2"/>
    <x v="0"/>
    <x v="0"/>
    <n v="0"/>
    <n v="0"/>
    <n v="0"/>
    <n v="0"/>
    <n v="621"/>
    <s v="Unnamed ProjectPART 3NVA TimeEntity"/>
    <n v="1"/>
    <n v="0"/>
    <n v="0"/>
    <n v="0.95"/>
    <n v="4E+20"/>
    <n v="0"/>
    <n v="0"/>
    <n v="0"/>
    <n v="0"/>
    <n v="621"/>
    <n v="0"/>
    <n v="1"/>
    <n v="1"/>
  </r>
  <r>
    <x v="0"/>
    <s v="2023-02-10 15:40:47"/>
    <n v="1"/>
    <x v="2"/>
    <x v="1"/>
    <x v="0"/>
    <n v="0"/>
    <n v="0"/>
    <n v="0"/>
    <n v="0"/>
    <n v="621"/>
    <s v="Unnamed ProjectPART 3Other TimeEntity"/>
    <n v="1"/>
    <n v="0"/>
    <n v="0"/>
    <n v="0.95"/>
    <n v="4E+20"/>
    <n v="0"/>
    <n v="0"/>
    <n v="0"/>
    <n v="0"/>
    <n v="621"/>
    <n v="0"/>
    <n v="1"/>
    <n v="1"/>
  </r>
  <r>
    <x v="0"/>
    <s v="2023-02-10 15:40:47"/>
    <n v="1"/>
    <x v="2"/>
    <x v="2"/>
    <x v="0"/>
    <n v="8.5394888021791804"/>
    <n v="2.7652047194736299E-2"/>
    <n v="8.0590501276929007"/>
    <n v="9.8147391650827593"/>
    <n v="621"/>
    <s v="Unnamed ProjectPART 3Total TimeEntity"/>
    <n v="1"/>
    <n v="8.5394888021791804"/>
    <n v="0"/>
    <n v="0.95"/>
    <n v="4E+20"/>
    <n v="8.5394888021791804"/>
    <n v="8.5394888021791804"/>
    <n v="8.0590501276929007"/>
    <n v="9.8147391650827593"/>
    <n v="621"/>
    <n v="2.7652047194736299E-2"/>
    <n v="1"/>
    <n v="1"/>
  </r>
  <r>
    <x v="0"/>
    <s v="2023-02-10 15:40:47"/>
    <n v="1"/>
    <x v="2"/>
    <x v="3"/>
    <x v="0"/>
    <n v="8"/>
    <n v="7.7313922304813104E-16"/>
    <n v="8"/>
    <n v="8.0000000000002292"/>
    <n v="621"/>
    <s v="Unnamed ProjectPART 3Transfer TimeEntity"/>
    <n v="1"/>
    <n v="8"/>
    <n v="0"/>
    <n v="0.95"/>
    <n v="4E+20"/>
    <n v="8"/>
    <n v="8"/>
    <n v="8"/>
    <n v="8.0000000000002292"/>
    <n v="621"/>
    <n v="7.7313922304813104E-16"/>
    <n v="1"/>
    <n v="1"/>
  </r>
  <r>
    <x v="0"/>
    <s v="2023-02-10 15:40:47"/>
    <n v="1"/>
    <x v="2"/>
    <x v="4"/>
    <x v="0"/>
    <n v="0.53482662999608399"/>
    <n v="2.7913104292385998E-2"/>
    <n v="5.9050127692899003E-2"/>
    <n v="1.81473916508276"/>
    <n v="621"/>
    <s v="Unnamed ProjectPART 3VA TimeEntity"/>
    <n v="1"/>
    <n v="0.53482662999608399"/>
    <n v="0"/>
    <n v="0.95"/>
    <n v="4E+20"/>
    <n v="0.53482662999608399"/>
    <n v="0.53482662999608399"/>
    <n v="5.9050127692899003E-2"/>
    <n v="1.81473916508276"/>
    <n v="621"/>
    <n v="2.7913104292385998E-2"/>
    <n v="1"/>
    <n v="1"/>
  </r>
  <r>
    <x v="0"/>
    <s v="2023-02-10 15:40:47"/>
    <n v="1"/>
    <x v="2"/>
    <x v="5"/>
    <x v="0"/>
    <n v="4.66217218308939E-3"/>
    <n v="2.9268106921041298E-3"/>
    <n v="0"/>
    <n v="0.43801831745622599"/>
    <n v="621"/>
    <s v="Unnamed ProjectPART 3Wait TimeEntity"/>
    <n v="1"/>
    <n v="4.66217218308939E-3"/>
    <n v="0"/>
    <n v="0.95"/>
    <n v="4E+20"/>
    <n v="4.66217218308939E-3"/>
    <n v="4.66217218308939E-3"/>
    <n v="0"/>
    <n v="0.43801831745622599"/>
    <n v="621"/>
    <n v="2.9268106921041298E-3"/>
    <n v="1"/>
    <n v="1"/>
  </r>
  <r>
    <x v="0"/>
    <s v="2023-02-10 15:40:47"/>
    <n v="1"/>
    <x v="3"/>
    <x v="6"/>
    <x v="1"/>
    <n v="0"/>
    <n v="0"/>
    <n v="0"/>
    <n v="0"/>
    <n v="1913"/>
    <s v="Unnamed ProjectProcesso A.QueueWaiting TimeQueue"/>
    <n v="1"/>
    <n v="0"/>
    <n v="0"/>
    <n v="0.95"/>
    <n v="4E+20"/>
    <n v="0"/>
    <n v="0"/>
    <n v="0"/>
    <n v="0"/>
    <n v="1913"/>
    <n v="0"/>
    <n v="1"/>
    <n v="1"/>
  </r>
  <r>
    <x v="0"/>
    <s v="2023-02-10 15:40:47"/>
    <n v="1"/>
    <x v="4"/>
    <x v="6"/>
    <x v="1"/>
    <n v="5.1123882379363996E-3"/>
    <n v="2.48566827925796E-3"/>
    <n v="0"/>
    <n v="1.1737997348736799"/>
    <n v="1913"/>
    <s v="Unnamed ProjectProcesso B.QueueWaiting TimeQueue"/>
    <n v="1"/>
    <n v="5.1123882379363996E-3"/>
    <n v="0"/>
    <n v="0.95"/>
    <n v="4E+20"/>
    <n v="5.1123882379363996E-3"/>
    <n v="5.1123882379363996E-3"/>
    <n v="0"/>
    <n v="1.1737997348736799"/>
    <n v="1913"/>
    <n v="2.48566827925796E-3"/>
    <n v="1"/>
    <n v="1"/>
  </r>
  <r>
    <x v="0"/>
    <s v="2023-02-10 15:40:47"/>
    <n v="1"/>
    <x v="5"/>
    <x v="6"/>
    <x v="1"/>
    <n v="6.8863742711311703E-3"/>
    <n v="4.9850245567485598E-3"/>
    <n v="0"/>
    <n v="1.52032113535824"/>
    <n v="1291"/>
    <s v="Unnamed ProjectProcesso C.QueueWaiting TimeQueue"/>
    <n v="1"/>
    <n v="6.8863742711311703E-3"/>
    <n v="0"/>
    <n v="0.95"/>
    <n v="4E+20"/>
    <n v="6.8863742711311703E-3"/>
    <n v="6.8863742711311703E-3"/>
    <n v="0"/>
    <n v="1.52032113535824"/>
    <n v="1291"/>
    <n v="4.9850245567485598E-3"/>
    <n v="1"/>
    <n v="1"/>
  </r>
  <r>
    <x v="0"/>
    <s v="2023-02-10 15:40:47"/>
    <n v="1"/>
    <x v="6"/>
    <x v="6"/>
    <x v="1"/>
    <n v="1.7272494929585199E-4"/>
    <n v="3.4756913925506098E-4"/>
    <n v="0"/>
    <n v="0.103623698629235"/>
    <n v="621"/>
    <s v="Unnamed ProjectProcesso D.QueueWaiting TimeQueue"/>
    <n v="1"/>
    <n v="1.7272494929585199E-4"/>
    <n v="0"/>
    <n v="0.95"/>
    <n v="4E+20"/>
    <n v="1.7272494929585199E-4"/>
    <n v="1.7272494929585199E-4"/>
    <n v="0"/>
    <n v="0.103623698629235"/>
    <n v="621"/>
    <n v="3.4756913925506098E-4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s v="2023-02-10 15:40:47"/>
    <n v="1"/>
    <x v="0"/>
    <x v="0"/>
    <x v="0"/>
    <n v="1913"/>
    <n v="0"/>
    <s v="Unnamed ProjectOPERADOR_A.NumberSeizedTotal Number SeizedResource"/>
    <n v="1"/>
    <n v="1913"/>
    <n v="0"/>
    <n v="0.95"/>
    <n v="4E+20"/>
    <n v="1913"/>
    <n v="1913"/>
  </r>
  <r>
    <x v="0"/>
    <s v="2023-02-10 15:40:47"/>
    <n v="1"/>
    <x v="1"/>
    <x v="1"/>
    <x v="0"/>
    <n v="9.1889353799584003E-3"/>
    <n v="0"/>
    <s v="Unnamed ProjectOPERADOR_A.ScheduledUtilizationScheduled UtilizationResource"/>
    <n v="1"/>
    <n v="9.1889353799584003E-3"/>
    <n v="0"/>
    <n v="0.95"/>
    <n v="4E+20"/>
    <n v="9.1889353799584003E-3"/>
    <n v="9.1889353799584003E-3"/>
  </r>
  <r>
    <x v="0"/>
    <s v="2023-02-10 15:40:47"/>
    <n v="1"/>
    <x v="2"/>
    <x v="0"/>
    <x v="0"/>
    <n v="1913"/>
    <n v="0"/>
    <s v="Unnamed ProjectOPERADOR_B.NumberSeizedTotal Number SeizedResource"/>
    <n v="1"/>
    <n v="1913"/>
    <n v="0"/>
    <n v="0.95"/>
    <n v="4E+20"/>
    <n v="1913"/>
    <n v="1913"/>
  </r>
  <r>
    <x v="0"/>
    <s v="2023-02-10 15:40:47"/>
    <n v="1"/>
    <x v="3"/>
    <x v="1"/>
    <x v="0"/>
    <n v="2.1291951175662498E-2"/>
    <n v="0"/>
    <s v="Unnamed ProjectOPERADOR_B.ScheduledUtilizationScheduled UtilizationResource"/>
    <n v="1"/>
    <n v="2.1291951175662498E-2"/>
    <n v="0"/>
    <n v="0.95"/>
    <n v="4E+20"/>
    <n v="2.1291951175662498E-2"/>
    <n v="2.1291951175662498E-2"/>
  </r>
  <r>
    <x v="0"/>
    <s v="2023-02-10 15:40:47"/>
    <n v="1"/>
    <x v="4"/>
    <x v="0"/>
    <x v="0"/>
    <n v="1291"/>
    <n v="0"/>
    <s v="Unnamed ProjectOPERADOR_C.NumberSeizedTotal Number SeizedResource"/>
    <n v="1"/>
    <n v="1291"/>
    <n v="0"/>
    <n v="0.95"/>
    <n v="4E+20"/>
    <n v="1291"/>
    <n v="1291"/>
  </r>
  <r>
    <x v="0"/>
    <s v="2023-02-10 15:40:47"/>
    <n v="1"/>
    <x v="5"/>
    <x v="1"/>
    <x v="0"/>
    <n v="1.24524287545966E-2"/>
    <n v="0"/>
    <s v="Unnamed ProjectOPERADOR_C.ScheduledUtilizationScheduled UtilizationResource"/>
    <n v="1"/>
    <n v="1.24524287545966E-2"/>
    <n v="0"/>
    <n v="0.95"/>
    <n v="4E+20"/>
    <n v="1.24524287545966E-2"/>
    <n v="1.24524287545966E-2"/>
  </r>
  <r>
    <x v="0"/>
    <s v="2023-02-10 15:40:47"/>
    <n v="1"/>
    <x v="6"/>
    <x v="0"/>
    <x v="0"/>
    <n v="621"/>
    <n v="0"/>
    <s v="Unnamed ProjectOPERADOR_D.NumberSeizedTotal Number SeizedResource"/>
    <n v="1"/>
    <n v="621"/>
    <n v="0"/>
    <n v="0.95"/>
    <n v="4E+20"/>
    <n v="621"/>
    <n v="621"/>
  </r>
  <r>
    <x v="0"/>
    <s v="2023-02-10 15:40:47"/>
    <n v="1"/>
    <x v="7"/>
    <x v="1"/>
    <x v="0"/>
    <n v="4.0131457124476201E-3"/>
    <n v="0"/>
    <s v="Unnamed ProjectOPERADOR_D.ScheduledUtilizationScheduled UtilizationResource"/>
    <n v="1"/>
    <n v="4.0131457124476201E-3"/>
    <n v="0"/>
    <n v="0.95"/>
    <n v="4E+20"/>
    <n v="4.0131457124476201E-3"/>
    <n v="4.0131457124476201E-3"/>
  </r>
  <r>
    <x v="0"/>
    <s v="2023-02-10 15:40:47"/>
    <n v="1"/>
    <x v="8"/>
    <x v="2"/>
    <x v="1"/>
    <n v="649"/>
    <n v="0"/>
    <s v="Unnamed ProjectPART 1.NumberInNumber InEntity"/>
    <n v="1"/>
    <n v="649"/>
    <n v="0"/>
    <n v="0.95"/>
    <n v="4E+20"/>
    <n v="649"/>
    <n v="649"/>
  </r>
  <r>
    <x v="0"/>
    <s v="2023-02-10 15:40:47"/>
    <n v="1"/>
    <x v="9"/>
    <x v="3"/>
    <x v="1"/>
    <n v="649"/>
    <n v="0"/>
    <s v="Unnamed ProjectPART 1.NumberOutNumber OutEntity"/>
    <n v="1"/>
    <n v="649"/>
    <n v="0"/>
    <n v="0.95"/>
    <n v="4E+20"/>
    <n v="649"/>
    <n v="649"/>
  </r>
  <r>
    <x v="0"/>
    <s v="2023-02-10 15:40:47"/>
    <n v="1"/>
    <x v="10"/>
    <x v="2"/>
    <x v="1"/>
    <n v="643"/>
    <n v="0"/>
    <s v="Unnamed ProjectPART 2.NumberInNumber InEntity"/>
    <n v="1"/>
    <n v="643"/>
    <n v="0"/>
    <n v="0.95"/>
    <n v="4E+20"/>
    <n v="643"/>
    <n v="643"/>
  </r>
  <r>
    <x v="0"/>
    <s v="2023-02-10 15:40:47"/>
    <n v="1"/>
    <x v="11"/>
    <x v="3"/>
    <x v="1"/>
    <n v="642"/>
    <n v="0"/>
    <s v="Unnamed ProjectPART 2.NumberOutNumber OutEntity"/>
    <n v="1"/>
    <n v="642"/>
    <n v="0"/>
    <n v="0.95"/>
    <n v="4E+20"/>
    <n v="642"/>
    <n v="642"/>
  </r>
  <r>
    <x v="0"/>
    <s v="2023-02-10 15:40:47"/>
    <n v="1"/>
    <x v="12"/>
    <x v="2"/>
    <x v="1"/>
    <n v="621"/>
    <n v="0"/>
    <s v="Unnamed ProjectPART 3.NumberInNumber InEntity"/>
    <n v="1"/>
    <n v="621"/>
    <n v="0"/>
    <n v="0.95"/>
    <n v="4E+20"/>
    <n v="621"/>
    <n v="621"/>
  </r>
  <r>
    <x v="0"/>
    <s v="2023-02-10 15:40:47"/>
    <n v="1"/>
    <x v="13"/>
    <x v="3"/>
    <x v="1"/>
    <n v="621"/>
    <n v="0"/>
    <s v="Unnamed ProjectPART 3.NumberOutNumber OutEntity"/>
    <n v="1"/>
    <n v="621"/>
    <n v="0"/>
    <n v="0.95"/>
    <n v="4E+20"/>
    <n v="621"/>
    <n v="621"/>
  </r>
  <r>
    <x v="0"/>
    <s v="2023-02-10 15:40:47"/>
    <n v="1"/>
    <x v="14"/>
    <x v="2"/>
    <x v="1"/>
    <n v="1913"/>
    <n v="0"/>
    <s v="Unnamed ProjectPART.NumberInNumber InEntity"/>
    <n v="1"/>
    <n v="1913"/>
    <n v="0"/>
    <n v="0.95"/>
    <n v="4E+20"/>
    <n v="1913"/>
    <n v="1913"/>
  </r>
  <r>
    <x v="0"/>
    <s v="2023-02-10 15:40:47"/>
    <n v="1"/>
    <x v="15"/>
    <x v="3"/>
    <x v="1"/>
    <n v="1913"/>
    <n v="0"/>
    <s v="Unnamed ProjectPART.NumberOutNumber OutEntity"/>
    <n v="1"/>
    <n v="1913"/>
    <n v="0"/>
    <n v="0.95"/>
    <n v="4E+20"/>
    <n v="1913"/>
    <n v="1913"/>
  </r>
  <r>
    <x v="0"/>
    <s v="2023-02-10 15:40:47"/>
    <n v="1"/>
    <x v="16"/>
    <x v="3"/>
    <x v="2"/>
    <n v="1912"/>
    <n v="0"/>
    <s v="Unnamed ProjectSystem.NumberOutNumber OutSystem"/>
    <n v="1"/>
    <n v="1912"/>
    <n v="0"/>
    <n v="0.95"/>
    <n v="4E+20"/>
    <n v="1912"/>
    <n v="191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2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6">
        <item m="1" x="27"/>
        <item m="1" x="18"/>
        <item m="1" x="34"/>
        <item m="1" x="43"/>
        <item m="1" x="56"/>
        <item m="1" x="55"/>
        <item m="1" x="19"/>
        <item m="1" x="120"/>
        <item m="1" x="98"/>
        <item m="1" x="61"/>
        <item m="1" x="48"/>
        <item m="1" x="52"/>
        <item m="1" x="134"/>
        <item m="1" x="37"/>
        <item m="1" x="119"/>
        <item m="1" x="41"/>
        <item m="1" x="92"/>
        <item m="1" x="106"/>
        <item m="1" x="16"/>
        <item m="1" x="42"/>
        <item m="1" x="129"/>
        <item m="1" x="31"/>
        <item m="1" x="121"/>
        <item m="1" x="20"/>
        <item m="1" x="47"/>
        <item m="1" x="73"/>
        <item m="1" x="17"/>
        <item m="1" x="23"/>
        <item m="1" x="93"/>
        <item m="1" x="74"/>
        <item m="1" x="108"/>
        <item m="1" x="64"/>
        <item m="1" x="28"/>
        <item m="1" x="58"/>
        <item m="1" x="94"/>
        <item m="1" x="79"/>
        <item m="1" x="29"/>
        <item m="1" x="39"/>
        <item m="1" x="101"/>
        <item m="1" x="15"/>
        <item m="1" x="128"/>
        <item m="1" x="86"/>
        <item m="1" x="26"/>
        <item m="1" x="111"/>
        <item m="1" x="57"/>
        <item m="1" x="130"/>
        <item m="1" x="91"/>
        <item m="1" x="33"/>
        <item m="1" x="78"/>
        <item m="1" x="97"/>
        <item m="1" x="110"/>
        <item m="1" x="118"/>
        <item m="1" x="127"/>
        <item m="1" x="14"/>
        <item m="1" x="32"/>
        <item m="1" x="46"/>
        <item m="1" x="35"/>
        <item m="1" x="13"/>
        <item m="1" x="107"/>
        <item m="1" x="124"/>
        <item m="1" x="50"/>
        <item m="1" x="85"/>
        <item m="1" x="38"/>
        <item m="1" x="59"/>
        <item m="1" x="44"/>
        <item m="1" x="68"/>
        <item m="1" x="53"/>
        <item m="1" x="75"/>
        <item m="1" x="60"/>
        <item m="1" x="87"/>
        <item m="1" x="69"/>
        <item m="1" x="95"/>
        <item m="1" x="76"/>
        <item m="1" x="104"/>
        <item m="1" x="88"/>
        <item m="1" x="109"/>
        <item m="1" x="96"/>
        <item m="1" x="113"/>
        <item m="1" x="125"/>
        <item m="1" x="115"/>
        <item m="1" x="99"/>
        <item m="1" x="72"/>
        <item m="1" x="51"/>
        <item m="1" x="66"/>
        <item m="1" x="30"/>
        <item m="1" x="36"/>
        <item m="1" x="45"/>
        <item m="1" x="49"/>
        <item m="1" x="81"/>
        <item m="1" x="126"/>
        <item m="1" x="116"/>
        <item m="1" x="100"/>
        <item m="1" x="67"/>
        <item m="1" x="135"/>
        <item m="1" x="83"/>
        <item m="1" x="71"/>
        <item m="1" x="103"/>
        <item m="1" x="84"/>
        <item m="1" x="63"/>
        <item m="1" x="70"/>
        <item m="1" x="24"/>
        <item m="1" x="89"/>
        <item m="1" x="105"/>
        <item m="1" x="114"/>
        <item m="1" x="122"/>
        <item m="1" x="133"/>
        <item m="1" x="21"/>
        <item m="1" x="40"/>
        <item m="1" x="132"/>
        <item m="1" x="22"/>
        <item m="1" x="90"/>
        <item m="1" x="65"/>
        <item m="1" x="80"/>
        <item m="1" x="25"/>
        <item m="1" x="131"/>
        <item m="1" x="112"/>
        <item m="1" x="62"/>
        <item m="1" x="123"/>
        <item m="1" x="82"/>
        <item m="1" x="102"/>
        <item m="1" x="117"/>
        <item m="1" x="54"/>
        <item m="1" x="77"/>
        <item m="1"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0">
    <i>
      <x v="3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4"/>
      <x/>
    </i>
    <i r="1">
      <x v="129"/>
      <x v="4"/>
      <x/>
    </i>
    <i r="1">
      <x v="130"/>
      <x v="4"/>
      <x/>
    </i>
    <i r="1">
      <x v="131"/>
      <x v="4"/>
      <x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4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6">
        <item m="1" x="17"/>
        <item m="1" x="40"/>
        <item m="1" x="12"/>
        <item m="1" x="92"/>
        <item m="1" x="75"/>
        <item m="1" x="45"/>
        <item m="1" x="101"/>
        <item m="1" x="33"/>
        <item m="1" x="37"/>
        <item m="1" x="104"/>
        <item m="1" x="70"/>
        <item m="1" x="82"/>
        <item m="1" x="87"/>
        <item m="1" x="11"/>
        <item m="1" x="39"/>
        <item m="1" x="29"/>
        <item m="1" x="105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2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5">
        <item m="1" x="42"/>
        <item m="1" x="18"/>
        <item m="1" x="43"/>
        <item m="1" x="19"/>
        <item m="1" x="44"/>
        <item m="1" x="20"/>
        <item m="1" x="45"/>
        <item m="1" x="21"/>
        <item m="1" x="77"/>
        <item m="1" x="32"/>
        <item x="16"/>
        <item m="1" x="76"/>
        <item m="1" x="63"/>
        <item m="1" x="80"/>
        <item m="1" x="65"/>
        <item m="1" x="81"/>
        <item m="1" x="88"/>
        <item m="1" x="57"/>
        <item m="1" x="25"/>
        <item m="1" x="74"/>
        <item m="1" x="64"/>
        <item m="1" x="62"/>
        <item m="1" x="28"/>
        <item m="1" x="72"/>
        <item m="1" x="37"/>
        <item m="1" x="73"/>
        <item m="1" x="38"/>
        <item m="1" x="71"/>
        <item m="1" x="91"/>
        <item m="1" x="31"/>
        <item m="1" x="94"/>
        <item m="1" x="59"/>
        <item m="1" x="26"/>
        <item m="1" x="89"/>
        <item m="1" x="84"/>
        <item m="1" x="60"/>
        <item m="1" x="27"/>
        <item m="1" x="90"/>
        <item m="1" x="85"/>
        <item m="1" x="22"/>
        <item m="1" x="56"/>
        <item m="1" x="40"/>
        <item m="1" x="30"/>
        <item m="1" x="82"/>
        <item m="1" x="52"/>
        <item m="1" x="83"/>
        <item m="1" x="53"/>
        <item m="1" x="39"/>
        <item m="1" x="34"/>
        <item m="1" x="61"/>
        <item m="1" x="36"/>
        <item m="1" x="93"/>
        <item m="1" x="86"/>
        <item m="1" x="35"/>
        <item m="1" x="33"/>
        <item m="1" x="78"/>
        <item m="1" x="87"/>
        <item m="1" x="23"/>
        <item m="1" x="41"/>
        <item m="1" x="54"/>
        <item m="1" x="75"/>
        <item m="1" x="92"/>
        <item m="1" x="24"/>
        <item m="1" x="51"/>
        <item m="1" x="55"/>
        <item m="1" x="79"/>
        <item m="1" x="58"/>
        <item m="1" x="29"/>
        <item m="1" x="46"/>
        <item m="1" x="66"/>
        <item m="1" x="47"/>
        <item m="1" x="67"/>
        <item m="1" x="48"/>
        <item m="1" x="68"/>
        <item m="1" x="49"/>
        <item m="1" x="69"/>
        <item m="1" x="50"/>
        <item m="1" x="70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/>
      <x/>
    </i>
    <i r="1">
      <x v="88"/>
      <x v="1"/>
      <x/>
    </i>
    <i r="1">
      <x v="89"/>
      <x/>
      <x/>
    </i>
    <i r="1">
      <x v="90"/>
      <x v="1"/>
      <x/>
    </i>
    <i r="1">
      <x v="91"/>
      <x/>
      <x/>
    </i>
    <i r="1">
      <x v="92"/>
      <x v="1"/>
      <x/>
    </i>
    <i r="1">
      <x v="93"/>
      <x/>
      <x/>
    </i>
    <i r="1">
      <x v="9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3" tableType="queryTable" totalsRowShown="0">
  <autoFilter ref="A1:Y23" xr:uid="{C3D003CA-1AFF-426C-A03D-D3AF5760DF1A}"/>
  <sortState xmlns:xlrd2="http://schemas.microsoft.com/office/spreadsheetml/2017/richdata2" ref="A2:Y23">
    <sortCondition ref="D1:D23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1" tableType="queryTable" totalsRowShown="0">
  <autoFilter ref="A1:U2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8" tableType="queryTable" totalsRowShown="0">
  <autoFilter ref="A1:P1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4" x14ac:dyDescent="0.3"/>
  <cols>
    <col min="1" max="1" width="15.21875" bestFit="1" customWidth="1"/>
    <col min="2" max="2" width="80.8867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1</v>
      </c>
      <c r="F2">
        <v>20000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4"/>
  <sheetViews>
    <sheetView tabSelected="1" workbookViewId="0"/>
  </sheetViews>
  <sheetFormatPr defaultRowHeight="14.4" x14ac:dyDescent="0.3"/>
  <cols>
    <col min="1" max="1" width="33.2187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649</v>
      </c>
      <c r="O3" t="s">
        <v>66</v>
      </c>
      <c r="P3" t="s">
        <v>85</v>
      </c>
      <c r="Q3" t="s">
        <v>86</v>
      </c>
      <c r="R3" t="s">
        <v>87</v>
      </c>
      <c r="S3" s="5">
        <v>9.1889353799584003E-3</v>
      </c>
      <c r="T3" s="5">
        <v>5.7701342153944899E-4</v>
      </c>
      <c r="U3" s="5">
        <v>0</v>
      </c>
      <c r="V3" s="5">
        <v>9.1889353799584003E-3</v>
      </c>
      <c r="W3" s="5">
        <v>9.1889353799584003E-3</v>
      </c>
      <c r="X3" s="5">
        <v>0</v>
      </c>
      <c r="Y3" s="5">
        <v>1</v>
      </c>
      <c r="AA3" t="s">
        <v>118</v>
      </c>
      <c r="AB3" t="s">
        <v>118</v>
      </c>
      <c r="AC3" t="s">
        <v>118</v>
      </c>
      <c r="AD3" t="s">
        <v>118</v>
      </c>
      <c r="AE3" s="5"/>
      <c r="AF3" s="5"/>
      <c r="AG3" s="5"/>
      <c r="AH3" s="5"/>
      <c r="AI3" s="5"/>
      <c r="AK3" t="s">
        <v>66</v>
      </c>
      <c r="AL3" t="s">
        <v>116</v>
      </c>
      <c r="AM3" t="s">
        <v>109</v>
      </c>
      <c r="AN3" t="s">
        <v>117</v>
      </c>
      <c r="AO3" s="5">
        <v>1912</v>
      </c>
      <c r="AP3" s="5">
        <v>4E+20</v>
      </c>
      <c r="AQ3" s="5">
        <v>0</v>
      </c>
      <c r="AR3" s="5">
        <v>1912</v>
      </c>
      <c r="AS3" s="5">
        <v>1912</v>
      </c>
      <c r="AU3" t="s">
        <v>118</v>
      </c>
      <c r="AV3" t="s">
        <v>118</v>
      </c>
      <c r="AW3" t="s">
        <v>118</v>
      </c>
      <c r="AX3" t="s">
        <v>118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649</v>
      </c>
      <c r="Q4" t="s">
        <v>88</v>
      </c>
      <c r="R4" t="s">
        <v>87</v>
      </c>
      <c r="S4" s="5">
        <v>1.8377870759916801E-2</v>
      </c>
      <c r="T4" s="5">
        <v>1.1540268430788999E-3</v>
      </c>
      <c r="U4" s="5">
        <v>0</v>
      </c>
      <c r="V4" s="5">
        <v>1.8377870759916801E-2</v>
      </c>
      <c r="W4" s="5">
        <v>1.8377870759916801E-2</v>
      </c>
      <c r="X4" s="5">
        <v>0</v>
      </c>
      <c r="Y4" s="5">
        <v>2</v>
      </c>
      <c r="AL4" t="s">
        <v>96</v>
      </c>
      <c r="AM4" t="s">
        <v>97</v>
      </c>
      <c r="AN4" t="s">
        <v>87</v>
      </c>
      <c r="AO4" s="5">
        <v>1913</v>
      </c>
      <c r="AP4" s="5">
        <v>4E+20</v>
      </c>
      <c r="AQ4" s="5">
        <v>0</v>
      </c>
      <c r="AR4" s="5">
        <v>1913</v>
      </c>
      <c r="AS4" s="5">
        <v>1913</v>
      </c>
    </row>
    <row r="5" spans="1:52" x14ac:dyDescent="0.3">
      <c r="C5" t="s">
        <v>73</v>
      </c>
      <c r="D5" t="s">
        <v>71</v>
      </c>
      <c r="E5" s="5">
        <v>8.6398437777232893</v>
      </c>
      <c r="F5" s="5">
        <v>1</v>
      </c>
      <c r="G5" s="5">
        <v>3.2931075731287299E-2</v>
      </c>
      <c r="H5" s="5">
        <v>0</v>
      </c>
      <c r="I5" s="5">
        <v>8.6398437777232893</v>
      </c>
      <c r="J5" s="5">
        <v>8.6398437777232893</v>
      </c>
      <c r="K5" s="5">
        <v>8.0434492550557497</v>
      </c>
      <c r="L5" s="5">
        <v>10.428004600329601</v>
      </c>
      <c r="M5" s="5">
        <v>649</v>
      </c>
      <c r="Q5" t="s">
        <v>89</v>
      </c>
      <c r="R5" t="s">
        <v>87</v>
      </c>
      <c r="S5" s="5">
        <v>2</v>
      </c>
      <c r="T5" s="5">
        <v>2E+20</v>
      </c>
      <c r="U5" s="5">
        <v>0</v>
      </c>
      <c r="V5" s="5">
        <v>2</v>
      </c>
      <c r="W5" s="5">
        <v>2</v>
      </c>
      <c r="X5" s="5">
        <v>2</v>
      </c>
      <c r="Y5" s="5">
        <v>2</v>
      </c>
      <c r="AL5" t="s">
        <v>98</v>
      </c>
      <c r="AM5" t="s">
        <v>99</v>
      </c>
      <c r="AN5" t="s">
        <v>87</v>
      </c>
      <c r="AO5" s="5">
        <v>9.1889353799584003E-3</v>
      </c>
      <c r="AP5" s="5">
        <v>4E+20</v>
      </c>
      <c r="AQ5" s="5">
        <v>0</v>
      </c>
      <c r="AR5" s="5">
        <v>9.1889353799584003E-3</v>
      </c>
      <c r="AS5" s="5">
        <v>9.1889353799584003E-3</v>
      </c>
    </row>
    <row r="6" spans="1:52" x14ac:dyDescent="0.3">
      <c r="C6" t="s">
        <v>74</v>
      </c>
      <c r="D6" t="s">
        <v>71</v>
      </c>
      <c r="E6" s="5">
        <v>8</v>
      </c>
      <c r="F6" s="5">
        <v>1</v>
      </c>
      <c r="G6" s="5">
        <v>3E+20</v>
      </c>
      <c r="H6" s="5">
        <v>0</v>
      </c>
      <c r="I6" s="5">
        <v>8</v>
      </c>
      <c r="J6" s="5">
        <v>8</v>
      </c>
      <c r="K6" s="5">
        <v>7.9999999999999698</v>
      </c>
      <c r="L6" s="5">
        <v>8</v>
      </c>
      <c r="M6" s="5">
        <v>649</v>
      </c>
      <c r="P6" t="s">
        <v>90</v>
      </c>
      <c r="Q6" t="s">
        <v>86</v>
      </c>
      <c r="R6" t="s">
        <v>87</v>
      </c>
      <c r="S6" s="5">
        <v>2.1291951175662498E-2</v>
      </c>
      <c r="T6" s="5">
        <v>1.4028844178007899E-3</v>
      </c>
      <c r="U6" s="5">
        <v>0</v>
      </c>
      <c r="V6" s="5">
        <v>2.1291951175662498E-2</v>
      </c>
      <c r="W6" s="5">
        <v>2.1291951175662498E-2</v>
      </c>
      <c r="X6" s="5">
        <v>0</v>
      </c>
      <c r="Y6" s="5">
        <v>1</v>
      </c>
      <c r="AL6" t="s">
        <v>100</v>
      </c>
      <c r="AM6" t="s">
        <v>97</v>
      </c>
      <c r="AN6" t="s">
        <v>87</v>
      </c>
      <c r="AO6" s="5">
        <v>1913</v>
      </c>
      <c r="AP6" s="5">
        <v>4E+20</v>
      </c>
      <c r="AQ6" s="5">
        <v>0</v>
      </c>
      <c r="AR6" s="5">
        <v>1913</v>
      </c>
      <c r="AS6" s="5">
        <v>1913</v>
      </c>
    </row>
    <row r="7" spans="1:52" x14ac:dyDescent="0.3">
      <c r="C7" t="s">
        <v>75</v>
      </c>
      <c r="D7" t="s">
        <v>71</v>
      </c>
      <c r="E7" s="5">
        <v>0.62730085144314196</v>
      </c>
      <c r="F7" s="5">
        <v>1</v>
      </c>
      <c r="G7" s="5">
        <v>3.0856621714029399E-2</v>
      </c>
      <c r="H7" s="5">
        <v>0</v>
      </c>
      <c r="I7" s="5">
        <v>0.62730085144314196</v>
      </c>
      <c r="J7" s="5">
        <v>0.62730085144314196</v>
      </c>
      <c r="K7" s="5">
        <v>4.3449255055747898E-2</v>
      </c>
      <c r="L7" s="5">
        <v>2.4280046003295901</v>
      </c>
      <c r="M7" s="5">
        <v>649</v>
      </c>
      <c r="Q7" t="s">
        <v>88</v>
      </c>
      <c r="R7" t="s">
        <v>87</v>
      </c>
      <c r="S7" s="5">
        <v>2.1291951175662498E-2</v>
      </c>
      <c r="T7" s="5">
        <v>1.4028844178007899E-3</v>
      </c>
      <c r="U7" s="5">
        <v>0</v>
      </c>
      <c r="V7" s="5">
        <v>2.1291951175662498E-2</v>
      </c>
      <c r="W7" s="5">
        <v>2.1291951175662498E-2</v>
      </c>
      <c r="X7" s="5">
        <v>0</v>
      </c>
      <c r="Y7" s="5">
        <v>1</v>
      </c>
      <c r="AL7" t="s">
        <v>101</v>
      </c>
      <c r="AM7" t="s">
        <v>99</v>
      </c>
      <c r="AN7" t="s">
        <v>87</v>
      </c>
      <c r="AO7" s="5">
        <v>2.1291951175662498E-2</v>
      </c>
      <c r="AP7" s="5">
        <v>4E+20</v>
      </c>
      <c r="AQ7" s="5">
        <v>0</v>
      </c>
      <c r="AR7" s="5">
        <v>2.1291951175662498E-2</v>
      </c>
      <c r="AS7" s="5">
        <v>2.1291951175662498E-2</v>
      </c>
    </row>
    <row r="8" spans="1:52" x14ac:dyDescent="0.3">
      <c r="C8" t="s">
        <v>76</v>
      </c>
      <c r="D8" t="s">
        <v>71</v>
      </c>
      <c r="E8" s="5">
        <v>1.25429262801525E-2</v>
      </c>
      <c r="F8" s="5">
        <v>1</v>
      </c>
      <c r="G8" s="5">
        <v>1.10575452052074E-2</v>
      </c>
      <c r="H8" s="5">
        <v>0</v>
      </c>
      <c r="I8" s="5">
        <v>1.25429262801525E-2</v>
      </c>
      <c r="J8" s="5">
        <v>1.25429262801525E-2</v>
      </c>
      <c r="K8" s="5">
        <v>0</v>
      </c>
      <c r="L8" s="5">
        <v>1.52032113535824</v>
      </c>
      <c r="M8" s="5">
        <v>649</v>
      </c>
      <c r="Q8" t="s">
        <v>89</v>
      </c>
      <c r="R8" t="s">
        <v>87</v>
      </c>
      <c r="S8" s="5">
        <v>1</v>
      </c>
      <c r="T8" s="5">
        <v>2E+20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102</v>
      </c>
      <c r="AM8" t="s">
        <v>97</v>
      </c>
      <c r="AN8" t="s">
        <v>87</v>
      </c>
      <c r="AO8" s="5">
        <v>1291</v>
      </c>
      <c r="AP8" s="5">
        <v>4E+20</v>
      </c>
      <c r="AQ8" s="5">
        <v>0</v>
      </c>
      <c r="AR8" s="5">
        <v>1291</v>
      </c>
      <c r="AS8" s="5">
        <v>1291</v>
      </c>
    </row>
    <row r="9" spans="1:52" x14ac:dyDescent="0.3">
      <c r="B9" t="s">
        <v>77</v>
      </c>
      <c r="C9" t="s">
        <v>70</v>
      </c>
      <c r="D9" t="s">
        <v>71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642</v>
      </c>
      <c r="P9" t="s">
        <v>91</v>
      </c>
      <c r="Q9" t="s">
        <v>86</v>
      </c>
      <c r="R9" t="s">
        <v>87</v>
      </c>
      <c r="S9" s="5">
        <v>1.24524287545966E-2</v>
      </c>
      <c r="T9" s="5">
        <v>1.1027464893348E-3</v>
      </c>
      <c r="U9" s="5">
        <v>0</v>
      </c>
      <c r="V9" s="5">
        <v>1.24524287545966E-2</v>
      </c>
      <c r="W9" s="5">
        <v>1.24524287545966E-2</v>
      </c>
      <c r="X9" s="5">
        <v>0</v>
      </c>
      <c r="Y9" s="5">
        <v>1</v>
      </c>
      <c r="AL9" t="s">
        <v>103</v>
      </c>
      <c r="AM9" t="s">
        <v>99</v>
      </c>
      <c r="AN9" t="s">
        <v>87</v>
      </c>
      <c r="AO9" s="5">
        <v>1.24524287545966E-2</v>
      </c>
      <c r="AP9" s="5">
        <v>4E+20</v>
      </c>
      <c r="AQ9" s="5">
        <v>0</v>
      </c>
      <c r="AR9" s="5">
        <v>1.24524287545966E-2</v>
      </c>
      <c r="AS9" s="5">
        <v>1.24524287545966E-2</v>
      </c>
    </row>
    <row r="10" spans="1:52" x14ac:dyDescent="0.3">
      <c r="C10" t="s">
        <v>72</v>
      </c>
      <c r="D10" t="s">
        <v>71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642</v>
      </c>
      <c r="Q10" t="s">
        <v>88</v>
      </c>
      <c r="R10" t="s">
        <v>87</v>
      </c>
      <c r="S10" s="5">
        <v>1.24524287545966E-2</v>
      </c>
      <c r="T10" s="5">
        <v>1.1027464893348E-3</v>
      </c>
      <c r="U10" s="5">
        <v>0</v>
      </c>
      <c r="V10" s="5">
        <v>1.24524287545966E-2</v>
      </c>
      <c r="W10" s="5">
        <v>1.24524287545966E-2</v>
      </c>
      <c r="X10" s="5">
        <v>0</v>
      </c>
      <c r="Y10" s="5">
        <v>1</v>
      </c>
      <c r="AL10" t="s">
        <v>104</v>
      </c>
      <c r="AM10" t="s">
        <v>97</v>
      </c>
      <c r="AN10" t="s">
        <v>87</v>
      </c>
      <c r="AO10" s="5">
        <v>621</v>
      </c>
      <c r="AP10" s="5">
        <v>4E+20</v>
      </c>
      <c r="AQ10" s="5">
        <v>0</v>
      </c>
      <c r="AR10" s="5">
        <v>621</v>
      </c>
      <c r="AS10" s="5">
        <v>621</v>
      </c>
    </row>
    <row r="11" spans="1:52" x14ac:dyDescent="0.3">
      <c r="C11" t="s">
        <v>73</v>
      </c>
      <c r="D11" t="s">
        <v>71</v>
      </c>
      <c r="E11" s="5">
        <v>8.6080688587269805</v>
      </c>
      <c r="F11" s="5">
        <v>1</v>
      </c>
      <c r="G11" s="5">
        <v>3.2631226174398502E-2</v>
      </c>
      <c r="H11" s="5">
        <v>0</v>
      </c>
      <c r="I11" s="5">
        <v>8.6080688587269805</v>
      </c>
      <c r="J11" s="5">
        <v>8.6080688587269805</v>
      </c>
      <c r="K11" s="5">
        <v>8.0417229042541294</v>
      </c>
      <c r="L11" s="5">
        <v>10.519534639596699</v>
      </c>
      <c r="M11" s="5">
        <v>642</v>
      </c>
      <c r="Q11" t="s">
        <v>89</v>
      </c>
      <c r="R11" t="s">
        <v>87</v>
      </c>
      <c r="S11" s="5">
        <v>1</v>
      </c>
      <c r="T11" s="5">
        <v>2E+20</v>
      </c>
      <c r="U11" s="5">
        <v>0</v>
      </c>
      <c r="V11" s="5">
        <v>1</v>
      </c>
      <c r="W11" s="5">
        <v>1</v>
      </c>
      <c r="X11" s="5">
        <v>1</v>
      </c>
      <c r="Y11" s="5">
        <v>1</v>
      </c>
      <c r="AL11" t="s">
        <v>105</v>
      </c>
      <c r="AM11" t="s">
        <v>99</v>
      </c>
      <c r="AN11" t="s">
        <v>87</v>
      </c>
      <c r="AO11" s="5">
        <v>4.0131457124476201E-3</v>
      </c>
      <c r="AP11" s="5">
        <v>4E+20</v>
      </c>
      <c r="AQ11" s="5">
        <v>0</v>
      </c>
      <c r="AR11" s="5">
        <v>4.0131457124476201E-3</v>
      </c>
      <c r="AS11" s="5">
        <v>4.0131457124476201E-3</v>
      </c>
    </row>
    <row r="12" spans="1:52" x14ac:dyDescent="0.3">
      <c r="C12" t="s">
        <v>74</v>
      </c>
      <c r="D12" t="s">
        <v>71</v>
      </c>
      <c r="E12" s="5">
        <v>8</v>
      </c>
      <c r="F12" s="5">
        <v>1</v>
      </c>
      <c r="G12" s="5">
        <v>0</v>
      </c>
      <c r="H12" s="5">
        <v>0</v>
      </c>
      <c r="I12" s="5">
        <v>8</v>
      </c>
      <c r="J12" s="5">
        <v>8</v>
      </c>
      <c r="K12" s="5">
        <v>8</v>
      </c>
      <c r="L12" s="5">
        <v>8</v>
      </c>
      <c r="M12" s="5">
        <v>642</v>
      </c>
      <c r="P12" t="s">
        <v>92</v>
      </c>
      <c r="Q12" t="s">
        <v>86</v>
      </c>
      <c r="R12" t="s">
        <v>87</v>
      </c>
      <c r="S12" s="5">
        <v>4.0131457124476201E-3</v>
      </c>
      <c r="T12" s="5">
        <v>4.4675360946001298E-4</v>
      </c>
      <c r="U12" s="5">
        <v>0</v>
      </c>
      <c r="V12" s="5">
        <v>4.0131457124476201E-3</v>
      </c>
      <c r="W12" s="5">
        <v>4.0131457124476201E-3</v>
      </c>
      <c r="X12" s="5">
        <v>0</v>
      </c>
      <c r="Y12" s="5">
        <v>1</v>
      </c>
      <c r="AL12" t="s">
        <v>106</v>
      </c>
      <c r="AM12" t="s">
        <v>107</v>
      </c>
      <c r="AN12" t="s">
        <v>71</v>
      </c>
      <c r="AO12" s="5">
        <v>649</v>
      </c>
      <c r="AP12" s="5">
        <v>4E+20</v>
      </c>
      <c r="AQ12" s="5">
        <v>0</v>
      </c>
      <c r="AR12" s="5">
        <v>649</v>
      </c>
      <c r="AS12" s="5">
        <v>649</v>
      </c>
    </row>
    <row r="13" spans="1:52" x14ac:dyDescent="0.3">
      <c r="C13" t="s">
        <v>75</v>
      </c>
      <c r="D13" t="s">
        <v>71</v>
      </c>
      <c r="E13" s="5">
        <v>0.59600966558803803</v>
      </c>
      <c r="F13" s="5">
        <v>1</v>
      </c>
      <c r="G13" s="5">
        <v>3.1830646811063602E-2</v>
      </c>
      <c r="H13" s="5">
        <v>0</v>
      </c>
      <c r="I13" s="5">
        <v>0.59600966558803803</v>
      </c>
      <c r="J13" s="5">
        <v>0.59600966558803803</v>
      </c>
      <c r="K13" s="5">
        <v>4.1722904254129403E-2</v>
      </c>
      <c r="L13" s="5">
        <v>2.51953463959671</v>
      </c>
      <c r="M13" s="5">
        <v>642</v>
      </c>
      <c r="Q13" t="s">
        <v>88</v>
      </c>
      <c r="R13" t="s">
        <v>87</v>
      </c>
      <c r="S13" s="5">
        <v>4.0131457124476201E-3</v>
      </c>
      <c r="T13" s="5">
        <v>4.4675360946001298E-4</v>
      </c>
      <c r="U13" s="5">
        <v>0</v>
      </c>
      <c r="V13" s="5">
        <v>4.0131457124476201E-3</v>
      </c>
      <c r="W13" s="5">
        <v>4.0131457124476201E-3</v>
      </c>
      <c r="X13" s="5">
        <v>0</v>
      </c>
      <c r="Y13" s="5">
        <v>1</v>
      </c>
      <c r="AL13" t="s">
        <v>108</v>
      </c>
      <c r="AM13" t="s">
        <v>109</v>
      </c>
      <c r="AN13" t="s">
        <v>71</v>
      </c>
      <c r="AO13" s="5">
        <v>649</v>
      </c>
      <c r="AP13" s="5">
        <v>4E+20</v>
      </c>
      <c r="AQ13" s="5">
        <v>0</v>
      </c>
      <c r="AR13" s="5">
        <v>649</v>
      </c>
      <c r="AS13" s="5">
        <v>649</v>
      </c>
    </row>
    <row r="14" spans="1:52" x14ac:dyDescent="0.3">
      <c r="C14" t="s">
        <v>76</v>
      </c>
      <c r="D14" t="s">
        <v>71</v>
      </c>
      <c r="E14" s="5">
        <v>1.20591931389376E-2</v>
      </c>
      <c r="F14" s="5">
        <v>1</v>
      </c>
      <c r="G14" s="5">
        <v>3E+20</v>
      </c>
      <c r="H14" s="5">
        <v>0</v>
      </c>
      <c r="I14" s="5">
        <v>1.20591931389376E-2</v>
      </c>
      <c r="J14" s="5">
        <v>1.20591931389376E-2</v>
      </c>
      <c r="K14" s="5">
        <v>0</v>
      </c>
      <c r="L14" s="5">
        <v>1.1737997348736799</v>
      </c>
      <c r="M14" s="5">
        <v>642</v>
      </c>
      <c r="Q14" t="s">
        <v>89</v>
      </c>
      <c r="R14" t="s">
        <v>87</v>
      </c>
      <c r="S14" s="5">
        <v>1</v>
      </c>
      <c r="T14" s="5">
        <v>2E+20</v>
      </c>
      <c r="U14" s="5">
        <v>0</v>
      </c>
      <c r="V14" s="5">
        <v>1</v>
      </c>
      <c r="W14" s="5">
        <v>1</v>
      </c>
      <c r="X14" s="5">
        <v>1</v>
      </c>
      <c r="Y14" s="5">
        <v>1</v>
      </c>
      <c r="AL14" t="s">
        <v>110</v>
      </c>
      <c r="AM14" t="s">
        <v>107</v>
      </c>
      <c r="AN14" t="s">
        <v>71</v>
      </c>
      <c r="AO14" s="5">
        <v>643</v>
      </c>
      <c r="AP14" s="5">
        <v>4E+20</v>
      </c>
      <c r="AQ14" s="5">
        <v>0</v>
      </c>
      <c r="AR14" s="5">
        <v>643</v>
      </c>
      <c r="AS14" s="5">
        <v>643</v>
      </c>
    </row>
    <row r="15" spans="1:52" x14ac:dyDescent="0.3">
      <c r="B15" t="s">
        <v>78</v>
      </c>
      <c r="C15" t="s">
        <v>70</v>
      </c>
      <c r="D15" t="s">
        <v>71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621</v>
      </c>
      <c r="P15" t="s">
        <v>93</v>
      </c>
      <c r="Q15" t="s">
        <v>94</v>
      </c>
      <c r="R15" t="s">
        <v>71</v>
      </c>
      <c r="S15" s="5">
        <v>0</v>
      </c>
      <c r="T15" s="5">
        <v>2E+20</v>
      </c>
      <c r="U15" s="5">
        <v>0</v>
      </c>
      <c r="V15" s="5">
        <v>0</v>
      </c>
      <c r="W15" s="5">
        <v>0</v>
      </c>
      <c r="X15" s="5">
        <v>0</v>
      </c>
      <c r="Y15" s="5">
        <v>1</v>
      </c>
      <c r="AL15" t="s">
        <v>111</v>
      </c>
      <c r="AM15" t="s">
        <v>109</v>
      </c>
      <c r="AN15" t="s">
        <v>71</v>
      </c>
      <c r="AO15" s="5">
        <v>642</v>
      </c>
      <c r="AP15" s="5">
        <v>4E+20</v>
      </c>
      <c r="AQ15" s="5">
        <v>0</v>
      </c>
      <c r="AR15" s="5">
        <v>642</v>
      </c>
      <c r="AS15" s="5">
        <v>642</v>
      </c>
    </row>
    <row r="16" spans="1:52" x14ac:dyDescent="0.3">
      <c r="C16" t="s">
        <v>72</v>
      </c>
      <c r="D16" t="s">
        <v>71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621</v>
      </c>
      <c r="P16" t="s">
        <v>69</v>
      </c>
      <c r="Q16" t="s">
        <v>94</v>
      </c>
      <c r="R16" t="s">
        <v>71</v>
      </c>
      <c r="S16" s="5">
        <v>0.28036293058712097</v>
      </c>
      <c r="T16" s="5">
        <v>2.18371683604347E-2</v>
      </c>
      <c r="U16" s="5">
        <v>0</v>
      </c>
      <c r="V16" s="5">
        <v>0.28036293058712097</v>
      </c>
      <c r="W16" s="5">
        <v>0.28036293058712097</v>
      </c>
      <c r="X16" s="5">
        <v>0</v>
      </c>
      <c r="Y16" s="5">
        <v>4</v>
      </c>
      <c r="AL16" t="s">
        <v>112</v>
      </c>
      <c r="AM16" t="s">
        <v>107</v>
      </c>
      <c r="AN16" t="s">
        <v>71</v>
      </c>
      <c r="AO16" s="5">
        <v>621</v>
      </c>
      <c r="AP16" s="5">
        <v>4E+20</v>
      </c>
      <c r="AQ16" s="5">
        <v>0</v>
      </c>
      <c r="AR16" s="5">
        <v>621</v>
      </c>
      <c r="AS16" s="5">
        <v>621</v>
      </c>
    </row>
    <row r="17" spans="2:45" x14ac:dyDescent="0.3">
      <c r="C17" t="s">
        <v>73</v>
      </c>
      <c r="D17" t="s">
        <v>71</v>
      </c>
      <c r="E17" s="5">
        <v>8.5394888021791804</v>
      </c>
      <c r="F17" s="5">
        <v>1</v>
      </c>
      <c r="G17" s="5">
        <v>2.7652047194736299E-2</v>
      </c>
      <c r="H17" s="5">
        <v>0</v>
      </c>
      <c r="I17" s="5">
        <v>8.5394888021791804</v>
      </c>
      <c r="J17" s="5">
        <v>8.5394888021791804</v>
      </c>
      <c r="K17" s="5">
        <v>8.0590501276929007</v>
      </c>
      <c r="L17" s="5">
        <v>9.8147391650827593</v>
      </c>
      <c r="M17" s="5">
        <v>621</v>
      </c>
      <c r="P17" t="s">
        <v>77</v>
      </c>
      <c r="Q17" t="s">
        <v>94</v>
      </c>
      <c r="R17" t="s">
        <v>71</v>
      </c>
      <c r="S17" s="5">
        <v>0.27660822882568298</v>
      </c>
      <c r="T17" s="5">
        <v>2.0167565350709502E-2</v>
      </c>
      <c r="U17" s="5">
        <v>0</v>
      </c>
      <c r="V17" s="5">
        <v>0.27660822882568298</v>
      </c>
      <c r="W17" s="5">
        <v>0.27660822882568298</v>
      </c>
      <c r="X17" s="5">
        <v>0</v>
      </c>
      <c r="Y17" s="5">
        <v>3</v>
      </c>
      <c r="AL17" t="s">
        <v>113</v>
      </c>
      <c r="AM17" t="s">
        <v>109</v>
      </c>
      <c r="AN17" t="s">
        <v>71</v>
      </c>
      <c r="AO17" s="5">
        <v>621</v>
      </c>
      <c r="AP17" s="5">
        <v>4E+20</v>
      </c>
      <c r="AQ17" s="5">
        <v>0</v>
      </c>
      <c r="AR17" s="5">
        <v>621</v>
      </c>
      <c r="AS17" s="5">
        <v>621</v>
      </c>
    </row>
    <row r="18" spans="2:45" x14ac:dyDescent="0.3">
      <c r="C18" t="s">
        <v>74</v>
      </c>
      <c r="D18" t="s">
        <v>71</v>
      </c>
      <c r="E18" s="5">
        <v>8</v>
      </c>
      <c r="F18" s="5">
        <v>1</v>
      </c>
      <c r="G18" s="5">
        <v>7.7313922304813104E-16</v>
      </c>
      <c r="H18" s="5">
        <v>0</v>
      </c>
      <c r="I18" s="5">
        <v>8</v>
      </c>
      <c r="J18" s="5">
        <v>8</v>
      </c>
      <c r="K18" s="5">
        <v>8</v>
      </c>
      <c r="L18" s="5">
        <v>8.0000000000002292</v>
      </c>
      <c r="M18" s="5">
        <v>621</v>
      </c>
      <c r="P18" t="s">
        <v>78</v>
      </c>
      <c r="Q18" t="s">
        <v>94</v>
      </c>
      <c r="R18" t="s">
        <v>71</v>
      </c>
      <c r="S18" s="5">
        <v>0.26515112730766299</v>
      </c>
      <c r="T18" s="5">
        <v>2.16104500415879E-2</v>
      </c>
      <c r="U18" s="5">
        <v>0</v>
      </c>
      <c r="V18" s="5">
        <v>0.26515112730766299</v>
      </c>
      <c r="W18" s="5">
        <v>0.26515112730766299</v>
      </c>
      <c r="X18" s="5">
        <v>0</v>
      </c>
      <c r="Y18" s="5">
        <v>4</v>
      </c>
      <c r="AL18" t="s">
        <v>114</v>
      </c>
      <c r="AM18" t="s">
        <v>107</v>
      </c>
      <c r="AN18" t="s">
        <v>71</v>
      </c>
      <c r="AO18" s="5">
        <v>1913</v>
      </c>
      <c r="AP18" s="5">
        <v>4E+20</v>
      </c>
      <c r="AQ18" s="5">
        <v>0</v>
      </c>
      <c r="AR18" s="5">
        <v>1913</v>
      </c>
      <c r="AS18" s="5">
        <v>1913</v>
      </c>
    </row>
    <row r="19" spans="2:45" x14ac:dyDescent="0.3">
      <c r="C19" t="s">
        <v>75</v>
      </c>
      <c r="D19" t="s">
        <v>71</v>
      </c>
      <c r="E19" s="5">
        <v>0.53482662999608399</v>
      </c>
      <c r="F19" s="5">
        <v>1</v>
      </c>
      <c r="G19" s="5">
        <v>2.7913104292385998E-2</v>
      </c>
      <c r="H19" s="5">
        <v>0</v>
      </c>
      <c r="I19" s="5">
        <v>0.53482662999608399</v>
      </c>
      <c r="J19" s="5">
        <v>0.53482662999608399</v>
      </c>
      <c r="K19" s="5">
        <v>5.9050127692899003E-2</v>
      </c>
      <c r="L19" s="5">
        <v>1.81473916508276</v>
      </c>
      <c r="M19" s="5">
        <v>621</v>
      </c>
      <c r="P19" t="s">
        <v>79</v>
      </c>
      <c r="Q19" t="s">
        <v>95</v>
      </c>
      <c r="R19" t="s">
        <v>81</v>
      </c>
      <c r="S19" s="5">
        <v>0</v>
      </c>
      <c r="T19" s="5">
        <v>2E+20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L19" t="s">
        <v>115</v>
      </c>
      <c r="AM19" t="s">
        <v>109</v>
      </c>
      <c r="AN19" t="s">
        <v>71</v>
      </c>
      <c r="AO19" s="5">
        <v>1913</v>
      </c>
      <c r="AP19" s="5">
        <v>4E+20</v>
      </c>
      <c r="AQ19" s="5">
        <v>0</v>
      </c>
      <c r="AR19" s="5">
        <v>1913</v>
      </c>
      <c r="AS19" s="5">
        <v>1913</v>
      </c>
    </row>
    <row r="20" spans="2:45" x14ac:dyDescent="0.3">
      <c r="C20" t="s">
        <v>76</v>
      </c>
      <c r="D20" t="s">
        <v>71</v>
      </c>
      <c r="E20" s="5">
        <v>4.66217218308939E-3</v>
      </c>
      <c r="F20" s="5">
        <v>1</v>
      </c>
      <c r="G20" s="5">
        <v>2.9268106921041298E-3</v>
      </c>
      <c r="H20" s="5">
        <v>0</v>
      </c>
      <c r="I20" s="5">
        <v>4.66217218308939E-3</v>
      </c>
      <c r="J20" s="5">
        <v>4.66217218308939E-3</v>
      </c>
      <c r="K20" s="5">
        <v>0</v>
      </c>
      <c r="L20" s="5">
        <v>0.43801831745622599</v>
      </c>
      <c r="M20" s="5">
        <v>621</v>
      </c>
      <c r="P20" t="s">
        <v>82</v>
      </c>
      <c r="Q20" t="s">
        <v>95</v>
      </c>
      <c r="R20" t="s">
        <v>81</v>
      </c>
      <c r="S20" s="5">
        <v>4.8899993495861601E-4</v>
      </c>
      <c r="T20" s="5">
        <v>2E+20</v>
      </c>
      <c r="U20" s="5">
        <v>0</v>
      </c>
      <c r="V20" s="5">
        <v>4.8899993495861601E-4</v>
      </c>
      <c r="W20" s="5">
        <v>4.8899993495861601E-4</v>
      </c>
      <c r="X20" s="5">
        <v>0</v>
      </c>
      <c r="Y20" s="5">
        <v>1</v>
      </c>
    </row>
    <row r="21" spans="2:45" x14ac:dyDescent="0.3">
      <c r="B21" t="s">
        <v>79</v>
      </c>
      <c r="C21" t="s">
        <v>80</v>
      </c>
      <c r="D21" t="s">
        <v>81</v>
      </c>
      <c r="E21" s="5">
        <v>0</v>
      </c>
      <c r="F21" s="5">
        <v>1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1913</v>
      </c>
      <c r="P21" t="s">
        <v>83</v>
      </c>
      <c r="Q21" t="s">
        <v>95</v>
      </c>
      <c r="R21" t="s">
        <v>81</v>
      </c>
      <c r="S21" s="5">
        <v>4.4451545920151702E-4</v>
      </c>
      <c r="T21" s="5">
        <v>2E+20</v>
      </c>
      <c r="U21" s="5">
        <v>0</v>
      </c>
      <c r="V21" s="5">
        <v>4.4451545920151702E-4</v>
      </c>
      <c r="W21" s="5">
        <v>4.4451545920151702E-4</v>
      </c>
      <c r="X21" s="5">
        <v>0</v>
      </c>
      <c r="Y21" s="5">
        <v>2</v>
      </c>
    </row>
    <row r="22" spans="2:45" x14ac:dyDescent="0.3">
      <c r="B22" t="s">
        <v>82</v>
      </c>
      <c r="C22" t="s">
        <v>80</v>
      </c>
      <c r="D22" t="s">
        <v>81</v>
      </c>
      <c r="E22" s="5">
        <v>5.1123882379363996E-3</v>
      </c>
      <c r="F22" s="5">
        <v>1</v>
      </c>
      <c r="G22" s="5">
        <v>2.48566827925796E-3</v>
      </c>
      <c r="H22" s="5">
        <v>0</v>
      </c>
      <c r="I22" s="5">
        <v>5.1123882379363996E-3</v>
      </c>
      <c r="J22" s="5">
        <v>5.1123882379363996E-3</v>
      </c>
      <c r="K22" s="5">
        <v>0</v>
      </c>
      <c r="L22" s="5">
        <v>1.1737997348736799</v>
      </c>
      <c r="M22" s="5">
        <v>1913</v>
      </c>
      <c r="P22" t="s">
        <v>84</v>
      </c>
      <c r="Q22" t="s">
        <v>95</v>
      </c>
      <c r="R22" t="s">
        <v>81</v>
      </c>
      <c r="S22" s="5">
        <v>5.36310967563622E-6</v>
      </c>
      <c r="T22" s="5">
        <v>2E+20</v>
      </c>
      <c r="U22" s="5">
        <v>0</v>
      </c>
      <c r="V22" s="5">
        <v>5.36310967563622E-6</v>
      </c>
      <c r="W22" s="5">
        <v>5.36310967563622E-6</v>
      </c>
      <c r="X22" s="5">
        <v>0</v>
      </c>
      <c r="Y22" s="5">
        <v>1</v>
      </c>
    </row>
    <row r="23" spans="2:45" x14ac:dyDescent="0.3">
      <c r="B23" t="s">
        <v>83</v>
      </c>
      <c r="C23" t="s">
        <v>80</v>
      </c>
      <c r="D23" t="s">
        <v>81</v>
      </c>
      <c r="E23" s="5">
        <v>6.8863742711311703E-3</v>
      </c>
      <c r="F23" s="5">
        <v>1</v>
      </c>
      <c r="G23" s="5">
        <v>4.9850245567485598E-3</v>
      </c>
      <c r="H23" s="5">
        <v>0</v>
      </c>
      <c r="I23" s="5">
        <v>6.8863742711311703E-3</v>
      </c>
      <c r="J23" s="5">
        <v>6.8863742711311703E-3</v>
      </c>
      <c r="K23" s="5">
        <v>0</v>
      </c>
      <c r="L23" s="5">
        <v>1.52032113535824</v>
      </c>
      <c r="M23" s="5">
        <v>1291</v>
      </c>
    </row>
    <row r="24" spans="2:45" x14ac:dyDescent="0.3">
      <c r="B24" t="s">
        <v>84</v>
      </c>
      <c r="C24" t="s">
        <v>80</v>
      </c>
      <c r="D24" t="s">
        <v>81</v>
      </c>
      <c r="E24" s="5">
        <v>1.7272494929585199E-4</v>
      </c>
      <c r="F24" s="5">
        <v>1</v>
      </c>
      <c r="G24" s="5">
        <v>3.4756913925506098E-4</v>
      </c>
      <c r="H24" s="5">
        <v>0</v>
      </c>
      <c r="I24" s="5">
        <v>1.7272494929585199E-4</v>
      </c>
      <c r="J24" s="5">
        <v>1.7272494929585199E-4</v>
      </c>
      <c r="K24" s="5">
        <v>0</v>
      </c>
      <c r="L24" s="5">
        <v>0.103623698629235</v>
      </c>
      <c r="M24" s="5">
        <v>621</v>
      </c>
    </row>
  </sheetData>
  <dataConsolidate/>
  <conditionalFormatting pivot="1" sqref="G3:G24">
    <cfRule type="expression" dxfId="29" priority="10">
      <formula>G3=200000000000000000000</formula>
    </cfRule>
  </conditionalFormatting>
  <conditionalFormatting pivot="1" sqref="T3:T22">
    <cfRule type="expression" dxfId="28" priority="9">
      <formula>T3=200000000000000000000</formula>
    </cfRule>
  </conditionalFormatting>
  <conditionalFormatting pivot="1" sqref="T3:T22">
    <cfRule type="expression" dxfId="27" priority="8">
      <formula>T3=300000000000000000000</formula>
    </cfRule>
  </conditionalFormatting>
  <conditionalFormatting pivot="1" sqref="G3:G24">
    <cfRule type="expression" dxfId="26" priority="7">
      <formula>G3=300000000000000000000</formula>
    </cfRule>
  </conditionalFormatting>
  <conditionalFormatting pivot="1" sqref="F3:F24">
    <cfRule type="expression" dxfId="25" priority="6">
      <formula>F3=0</formula>
    </cfRule>
  </conditionalFormatting>
  <conditionalFormatting pivot="1" sqref="F3:F24">
    <cfRule type="expression" dxfId="24" priority="5">
      <formula>F3=1</formula>
    </cfRule>
  </conditionalFormatting>
  <conditionalFormatting pivot="1" sqref="T3:T22">
    <cfRule type="expression" dxfId="23" priority="4">
      <formula>T3=400000000000000000000</formula>
    </cfRule>
  </conditionalFormatting>
  <conditionalFormatting pivot="1" sqref="AP3:AP19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24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3"/>
  <sheetViews>
    <sheetView workbookViewId="0">
      <selection activeCell="K2" sqref="K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6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47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customWidth="1"/>
    <col min="20" max="20" width="17.44140625" customWidth="1"/>
    <col min="21" max="21" width="17.77734375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0</v>
      </c>
      <c r="I2">
        <v>0</v>
      </c>
      <c r="J2">
        <v>0</v>
      </c>
      <c r="K2">
        <v>649</v>
      </c>
      <c r="L2" t="str">
        <f>DiscreteStatsTable[[#This Row],[ProjectName]]&amp;DiscreteStatsTable[[#This Row],[Name]]&amp;DiscreteStatsTable[[#This Row],[Type]]&amp;DiscreteStatsTable[[#This Row],[Source]]</f>
        <v>Unnamed ProjectPART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649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0</v>
      </c>
      <c r="I3">
        <v>0</v>
      </c>
      <c r="J3">
        <v>0</v>
      </c>
      <c r="K3">
        <v>649</v>
      </c>
      <c r="L3" t="str">
        <f>DiscreteStatsTable[[#This Row],[ProjectName]]&amp;DiscreteStatsTable[[#This Row],[Name]]&amp;DiscreteStatsTable[[#This Row],[Type]]&amp;DiscreteStatsTable[[#This Row],[Source]]</f>
        <v>Unnamed ProjectPART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649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8.6398437777232893</v>
      </c>
      <c r="H4">
        <v>3.2931075731287299E-2</v>
      </c>
      <c r="I4">
        <v>8.0434492550557497</v>
      </c>
      <c r="J4">
        <v>10.428004600329601</v>
      </c>
      <c r="K4">
        <v>649</v>
      </c>
      <c r="L4" t="str">
        <f>DiscreteStatsTable[[#This Row],[ProjectName]]&amp;DiscreteStatsTable[[#This Row],[Name]]&amp;DiscreteStatsTable[[#This Row],[Type]]&amp;DiscreteStatsTable[[#This Row],[Source]]</f>
        <v>Unnamed ProjectPART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8.6398437777232893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8.6398437777232893</v>
      </c>
      <c r="S4" cm="1">
        <f t="array" ref="S4">MAX(IF((DiscreteStatsTable[GroupByKey]=DiscreteStatsTable[[#This Row],[GroupByKey]]),(DiscreteStatsTable[GroupByKey]=DiscreteStatsTable[[#This Row],[GroupByKey]])*DiscreteStatsTable[Average]))</f>
        <v>8.6398437777232893</v>
      </c>
      <c r="T4" cm="1">
        <f t="array" ref="T4">MIN(IF((DiscreteStatsTable[GroupByKey]=DiscreteStatsTable[[#This Row],[GroupByKey]]),(DiscreteStatsTable[GroupByKey]=DiscreteStatsTable[[#This Row],[GroupByKey]])*DiscreteStatsTable[Minimum]))</f>
        <v>8.0434492550557497</v>
      </c>
      <c r="U4" cm="1">
        <f t="array" ref="U4">MAX(IF((DiscreteStatsTable[GroupByKey]=DiscreteStatsTable[[#This Row],[GroupByKey]]),(DiscreteStatsTable[GroupByKey]=DiscreteStatsTable[[#This Row],[GroupByKey]])*DiscreteStatsTable[Maximum]))</f>
        <v>10.428004600329601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649</v>
      </c>
      <c r="W4">
        <f>IF((DiscreteStatsTable[[#This Row],[RepsRequested]]&gt;1),DiscreteStatsTable[[#This Row],[HalfWidth]],DiscreteStatsTable[[#This Row],[BatchMeansHalfWidth]])</f>
        <v>3.2931075731287299E-2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8</v>
      </c>
      <c r="H5">
        <v>3E+20</v>
      </c>
      <c r="I5">
        <v>7.9999999999999698</v>
      </c>
      <c r="J5">
        <v>8</v>
      </c>
      <c r="K5">
        <v>649</v>
      </c>
      <c r="L5" t="str">
        <f>DiscreteStatsTable[[#This Row],[ProjectName]]&amp;DiscreteStatsTable[[#This Row],[Name]]&amp;DiscreteStatsTable[[#This Row],[Type]]&amp;DiscreteStatsTable[[#This Row],[Source]]</f>
        <v>Unnamed ProjectPART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8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8</v>
      </c>
      <c r="S5" cm="1">
        <f t="array" ref="S5">MAX(IF((DiscreteStatsTable[GroupByKey]=DiscreteStatsTable[[#This Row],[GroupByKey]]),(DiscreteStatsTable[GroupByKey]=DiscreteStatsTable[[#This Row],[GroupByKey]])*DiscreteStatsTable[Average]))</f>
        <v>8</v>
      </c>
      <c r="T5" cm="1">
        <f t="array" ref="T5">MIN(IF((DiscreteStatsTable[GroupByKey]=DiscreteStatsTable[[#This Row],[GroupByKey]]),(DiscreteStatsTable[GroupByKey]=DiscreteStatsTable[[#This Row],[GroupByKey]])*DiscreteStatsTable[Minimum]))</f>
        <v>7.9999999999999698</v>
      </c>
      <c r="U5" cm="1">
        <f t="array" ref="U5">MAX(IF((DiscreteStatsTable[GroupByKey]=DiscreteStatsTable[[#This Row],[GroupByKey]]),(DiscreteStatsTable[GroupByKey]=DiscreteStatsTable[[#This Row],[GroupByKey]])*DiscreteStatsTable[Maximum]))</f>
        <v>8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649</v>
      </c>
      <c r="W5">
        <f>IF((DiscreteStatsTable[[#This Row],[RepsRequested]]&gt;1),DiscreteStatsTable[[#This Row],[HalfWidth]],DiscreteStatsTable[[#This Row],[BatchMeansHalfWidth]])</f>
        <v>3E+20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0.62730085144314196</v>
      </c>
      <c r="H6">
        <v>3.0856621714029399E-2</v>
      </c>
      <c r="I6">
        <v>4.3449255055747898E-2</v>
      </c>
      <c r="J6">
        <v>2.4280046003295901</v>
      </c>
      <c r="K6">
        <v>649</v>
      </c>
      <c r="L6" t="str">
        <f>DiscreteStatsTable[[#This Row],[ProjectName]]&amp;DiscreteStatsTable[[#This Row],[Name]]&amp;DiscreteStatsTable[[#This Row],[Type]]&amp;DiscreteStatsTable[[#This Row],[Source]]</f>
        <v>Unnamed ProjectPART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0.62730085144314196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0.62730085144314196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0.62730085144314196</v>
      </c>
      <c r="T6" cm="1">
        <f t="array" ref="T6">MIN(IF((DiscreteStatsTable[GroupByKey]=DiscreteStatsTable[[#This Row],[GroupByKey]]),(DiscreteStatsTable[GroupByKey]=DiscreteStatsTable[[#This Row],[GroupByKey]])*DiscreteStatsTable[Minimum]))</f>
        <v>4.3449255055747898E-2</v>
      </c>
      <c r="U6" cm="1">
        <f t="array" ref="U6">MAX(IF((DiscreteStatsTable[GroupByKey]=DiscreteStatsTable[[#This Row],[GroupByKey]]),(DiscreteStatsTable[GroupByKey]=DiscreteStatsTable[[#This Row],[GroupByKey]])*DiscreteStatsTable[Maximum]))</f>
        <v>2.4280046003295901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649</v>
      </c>
      <c r="W6">
        <f>IF((DiscreteStatsTable[[#This Row],[RepsRequested]]&gt;1),DiscreteStatsTable[[#This Row],[HalfWidth]],DiscreteStatsTable[[#This Row],[BatchMeansHalfWidth]])</f>
        <v>3.0856621714029399E-2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1.25429262801525E-2</v>
      </c>
      <c r="H7">
        <v>1.10575452052074E-2</v>
      </c>
      <c r="I7">
        <v>0</v>
      </c>
      <c r="J7">
        <v>1.52032113535824</v>
      </c>
      <c r="K7">
        <v>649</v>
      </c>
      <c r="L7" t="str">
        <f>DiscreteStatsTable[[#This Row],[ProjectName]]&amp;DiscreteStatsTable[[#This Row],[Name]]&amp;DiscreteStatsTable[[#This Row],[Type]]&amp;DiscreteStatsTable[[#This Row],[Source]]</f>
        <v>Unnamed ProjectPART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1.25429262801525E-2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1.25429262801525E-2</v>
      </c>
      <c r="S7" cm="1">
        <f t="array" ref="S7">MAX(IF((DiscreteStatsTable[GroupByKey]=DiscreteStatsTable[[#This Row],[GroupByKey]]),(DiscreteStatsTable[GroupByKey]=DiscreteStatsTable[[#This Row],[GroupByKey]])*DiscreteStatsTable[Average]))</f>
        <v>1.25429262801525E-2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1.52032113535824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649</v>
      </c>
      <c r="W7">
        <f>IF((DiscreteStatsTable[[#This Row],[RepsRequested]]&gt;1),DiscreteStatsTable[[#This Row],[HalfWidth]],DiscreteStatsTable[[#This Row],[BatchMeansHalfWidth]])</f>
        <v>1.10575452052074E-2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1</v>
      </c>
      <c r="D8" t="s">
        <v>77</v>
      </c>
      <c r="E8" t="s">
        <v>70</v>
      </c>
      <c r="F8" t="s">
        <v>71</v>
      </c>
      <c r="G8">
        <v>0</v>
      </c>
      <c r="H8">
        <v>0</v>
      </c>
      <c r="I8">
        <v>0</v>
      </c>
      <c r="J8">
        <v>0</v>
      </c>
      <c r="K8">
        <v>642</v>
      </c>
      <c r="L8" t="str">
        <f>DiscreteStatsTable[[#This Row],[ProjectName]]&amp;DiscreteStatsTable[[#This Row],[Name]]&amp;DiscreteStatsTable[[#This Row],[Type]]&amp;DiscreteStatsTable[[#This Row],[Source]]</f>
        <v>Unnamed ProjectPART 2NVA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642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1</v>
      </c>
      <c r="D9" t="s">
        <v>77</v>
      </c>
      <c r="E9" t="s">
        <v>72</v>
      </c>
      <c r="F9" t="s">
        <v>71</v>
      </c>
      <c r="G9">
        <v>0</v>
      </c>
      <c r="H9">
        <v>0</v>
      </c>
      <c r="I9">
        <v>0</v>
      </c>
      <c r="J9">
        <v>0</v>
      </c>
      <c r="K9">
        <v>642</v>
      </c>
      <c r="L9" t="str">
        <f>DiscreteStatsTable[[#This Row],[ProjectName]]&amp;DiscreteStatsTable[[#This Row],[Name]]&amp;DiscreteStatsTable[[#This Row],[Type]]&amp;DiscreteStatsTable[[#This Row],[Source]]</f>
        <v>Unnamed ProjectPART 2Other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642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1</v>
      </c>
      <c r="D10" t="s">
        <v>77</v>
      </c>
      <c r="E10" t="s">
        <v>73</v>
      </c>
      <c r="F10" t="s">
        <v>71</v>
      </c>
      <c r="G10">
        <v>8.6080688587269805</v>
      </c>
      <c r="H10">
        <v>3.2631226174398502E-2</v>
      </c>
      <c r="I10">
        <v>8.0417229042541294</v>
      </c>
      <c r="J10">
        <v>10.519534639596699</v>
      </c>
      <c r="K10">
        <v>642</v>
      </c>
      <c r="L10" t="str">
        <f>DiscreteStatsTable[[#This Row],[ProjectName]]&amp;DiscreteStatsTable[[#This Row],[Name]]&amp;DiscreteStatsTable[[#This Row],[Type]]&amp;DiscreteStatsTable[[#This Row],[Source]]</f>
        <v>Unnamed ProjectPART 2Total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8.6080688587269805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8.6080688587269805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8.6080688587269805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8.0417229042541294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10.519534639596699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642</v>
      </c>
      <c r="W10">
        <f>IF((DiscreteStatsTable[[#This Row],[RepsRequested]]&gt;1),DiscreteStatsTable[[#This Row],[HalfWidth]],DiscreteStatsTable[[#This Row],[BatchMeansHalfWidth]])</f>
        <v>3.2631226174398502E-2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1</v>
      </c>
      <c r="D11" t="s">
        <v>77</v>
      </c>
      <c r="E11" t="s">
        <v>74</v>
      </c>
      <c r="F11" t="s">
        <v>71</v>
      </c>
      <c r="G11">
        <v>8</v>
      </c>
      <c r="H11">
        <v>0</v>
      </c>
      <c r="I11">
        <v>8</v>
      </c>
      <c r="J11">
        <v>8</v>
      </c>
      <c r="K11">
        <v>642</v>
      </c>
      <c r="L11" t="str">
        <f>DiscreteStatsTable[[#This Row],[ProjectName]]&amp;DiscreteStatsTable[[#This Row],[Name]]&amp;DiscreteStatsTable[[#This Row],[Type]]&amp;DiscreteStatsTable[[#This Row],[Source]]</f>
        <v>Unnamed ProjectPART 2Transfer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8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8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8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8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8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642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1</v>
      </c>
      <c r="D12" t="s">
        <v>77</v>
      </c>
      <c r="E12" t="s">
        <v>75</v>
      </c>
      <c r="F12" t="s">
        <v>71</v>
      </c>
      <c r="G12">
        <v>0.59600966558803803</v>
      </c>
      <c r="H12">
        <v>3.1830646811063602E-2</v>
      </c>
      <c r="I12">
        <v>4.1722904254129403E-2</v>
      </c>
      <c r="J12">
        <v>2.51953463959671</v>
      </c>
      <c r="K12">
        <v>642</v>
      </c>
      <c r="L12" t="str">
        <f>DiscreteStatsTable[[#This Row],[ProjectName]]&amp;DiscreteStatsTable[[#This Row],[Name]]&amp;DiscreteStatsTable[[#This Row],[Type]]&amp;DiscreteStatsTable[[#This Row],[Source]]</f>
        <v>Unnamed ProjectPART 2VA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0.59600966558803803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0.59600966558803803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0.59600966558803803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4.1722904254129403E-2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2.51953463959671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642</v>
      </c>
      <c r="W12">
        <f>IF((DiscreteStatsTable[[#This Row],[RepsRequested]]&gt;1),DiscreteStatsTable[[#This Row],[HalfWidth]],DiscreteStatsTable[[#This Row],[BatchMeansHalfWidth]])</f>
        <v>3.1830646811063602E-2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1</v>
      </c>
      <c r="D13" t="s">
        <v>77</v>
      </c>
      <c r="E13" t="s">
        <v>76</v>
      </c>
      <c r="F13" t="s">
        <v>71</v>
      </c>
      <c r="G13">
        <v>1.20591931389376E-2</v>
      </c>
      <c r="H13">
        <v>3E+20</v>
      </c>
      <c r="I13">
        <v>0</v>
      </c>
      <c r="J13">
        <v>1.1737997348736799</v>
      </c>
      <c r="K13">
        <v>642</v>
      </c>
      <c r="L13" t="str">
        <f>DiscreteStatsTable[[#This Row],[ProjectName]]&amp;DiscreteStatsTable[[#This Row],[Name]]&amp;DiscreteStatsTable[[#This Row],[Type]]&amp;DiscreteStatsTable[[#This Row],[Source]]</f>
        <v>Unnamed ProjectPART 2Wait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1.20591931389376E-2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1.20591931389376E-2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1.20591931389376E-2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1.1737997348736799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642</v>
      </c>
      <c r="W13">
        <f>IF((DiscreteStatsTable[[#This Row],[RepsRequested]]&gt;1),DiscreteStatsTable[[#This Row],[HalfWidth]],DiscreteStatsTable[[#This Row],[BatchMeansHalfWidth]])</f>
        <v>3E+20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1</v>
      </c>
      <c r="D14" t="s">
        <v>78</v>
      </c>
      <c r="E14" t="s">
        <v>70</v>
      </c>
      <c r="F14" t="s">
        <v>71</v>
      </c>
      <c r="G14">
        <v>0</v>
      </c>
      <c r="H14">
        <v>0</v>
      </c>
      <c r="I14">
        <v>0</v>
      </c>
      <c r="J14">
        <v>0</v>
      </c>
      <c r="K14">
        <v>621</v>
      </c>
      <c r="L14" t="str">
        <f>DiscreteStatsTable[[#This Row],[ProjectName]]&amp;DiscreteStatsTable[[#This Row],[Name]]&amp;DiscreteStatsTable[[#This Row],[Type]]&amp;DiscreteStatsTable[[#This Row],[Source]]</f>
        <v>Unnamed ProjectPART 3NVA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621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1</v>
      </c>
      <c r="D15" t="s">
        <v>78</v>
      </c>
      <c r="E15" t="s">
        <v>72</v>
      </c>
      <c r="F15" t="s">
        <v>71</v>
      </c>
      <c r="G15">
        <v>0</v>
      </c>
      <c r="H15">
        <v>0</v>
      </c>
      <c r="I15">
        <v>0</v>
      </c>
      <c r="J15">
        <v>0</v>
      </c>
      <c r="K15">
        <v>621</v>
      </c>
      <c r="L15" t="str">
        <f>DiscreteStatsTable[[#This Row],[ProjectName]]&amp;DiscreteStatsTable[[#This Row],[Name]]&amp;DiscreteStatsTable[[#This Row],[Type]]&amp;DiscreteStatsTable[[#This Row],[Source]]</f>
        <v>Unnamed ProjectPART 3Other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621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1</v>
      </c>
      <c r="D16" t="s">
        <v>78</v>
      </c>
      <c r="E16" t="s">
        <v>73</v>
      </c>
      <c r="F16" t="s">
        <v>71</v>
      </c>
      <c r="G16">
        <v>8.5394888021791804</v>
      </c>
      <c r="H16">
        <v>2.7652047194736299E-2</v>
      </c>
      <c r="I16">
        <v>8.0590501276929007</v>
      </c>
      <c r="J16">
        <v>9.8147391650827593</v>
      </c>
      <c r="K16">
        <v>621</v>
      </c>
      <c r="L16" t="str">
        <f>DiscreteStatsTable[[#This Row],[ProjectName]]&amp;DiscreteStatsTable[[#This Row],[Name]]&amp;DiscreteStatsTable[[#This Row],[Type]]&amp;DiscreteStatsTable[[#This Row],[Source]]</f>
        <v>Unnamed ProjectPART 3Total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8.5394888021791804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8.5394888021791804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8.5394888021791804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8.0590501276929007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9.8147391650827593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621</v>
      </c>
      <c r="W16">
        <f>IF((DiscreteStatsTable[[#This Row],[RepsRequested]]&gt;1),DiscreteStatsTable[[#This Row],[HalfWidth]],DiscreteStatsTable[[#This Row],[BatchMeansHalfWidth]])</f>
        <v>2.7652047194736299E-2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1</v>
      </c>
      <c r="D17" t="s">
        <v>78</v>
      </c>
      <c r="E17" t="s">
        <v>74</v>
      </c>
      <c r="F17" t="s">
        <v>71</v>
      </c>
      <c r="G17">
        <v>8</v>
      </c>
      <c r="H17">
        <v>7.7313922304813104E-16</v>
      </c>
      <c r="I17">
        <v>8</v>
      </c>
      <c r="J17">
        <v>8.0000000000002292</v>
      </c>
      <c r="K17">
        <v>621</v>
      </c>
      <c r="L17" t="str">
        <f>DiscreteStatsTable[[#This Row],[ProjectName]]&amp;DiscreteStatsTable[[#This Row],[Name]]&amp;DiscreteStatsTable[[#This Row],[Type]]&amp;DiscreteStatsTable[[#This Row],[Source]]</f>
        <v>Unnamed ProjectPART 3Transfer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8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8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8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8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8.0000000000002292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621</v>
      </c>
      <c r="W17">
        <f>IF((DiscreteStatsTable[[#This Row],[RepsRequested]]&gt;1),DiscreteStatsTable[[#This Row],[HalfWidth]],DiscreteStatsTable[[#This Row],[BatchMeansHalfWidth]])</f>
        <v>7.7313922304813104E-16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1</v>
      </c>
      <c r="D18" t="s">
        <v>78</v>
      </c>
      <c r="E18" t="s">
        <v>75</v>
      </c>
      <c r="F18" t="s">
        <v>71</v>
      </c>
      <c r="G18">
        <v>0.53482662999608399</v>
      </c>
      <c r="H18">
        <v>2.7913104292385998E-2</v>
      </c>
      <c r="I18">
        <v>5.9050127692899003E-2</v>
      </c>
      <c r="J18">
        <v>1.81473916508276</v>
      </c>
      <c r="K18">
        <v>621</v>
      </c>
      <c r="L18" t="str">
        <f>DiscreteStatsTable[[#This Row],[ProjectName]]&amp;DiscreteStatsTable[[#This Row],[Name]]&amp;DiscreteStatsTable[[#This Row],[Type]]&amp;DiscreteStatsTable[[#This Row],[Source]]</f>
        <v>Unnamed ProjectPART 3VA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0.53482662999608399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0.53482662999608399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0.53482662999608399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5.9050127692899003E-2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1.81473916508276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621</v>
      </c>
      <c r="W18">
        <f>IF((DiscreteStatsTable[[#This Row],[RepsRequested]]&gt;1),DiscreteStatsTable[[#This Row],[HalfWidth]],DiscreteStatsTable[[#This Row],[BatchMeansHalfWidth]])</f>
        <v>2.7913104292385998E-2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1</v>
      </c>
      <c r="D19" t="s">
        <v>78</v>
      </c>
      <c r="E19" t="s">
        <v>76</v>
      </c>
      <c r="F19" t="s">
        <v>71</v>
      </c>
      <c r="G19">
        <v>4.66217218308939E-3</v>
      </c>
      <c r="H19">
        <v>2.9268106921041298E-3</v>
      </c>
      <c r="I19">
        <v>0</v>
      </c>
      <c r="J19">
        <v>0.43801831745622599</v>
      </c>
      <c r="K19">
        <v>621</v>
      </c>
      <c r="L19" t="str">
        <f>DiscreteStatsTable[[#This Row],[ProjectName]]&amp;DiscreteStatsTable[[#This Row],[Name]]&amp;DiscreteStatsTable[[#This Row],[Type]]&amp;DiscreteStatsTable[[#This Row],[Source]]</f>
        <v>Unnamed ProjectPART 3Wait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4.66217218308939E-3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4.66217218308939E-3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4.66217218308939E-3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0.43801831745622599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621</v>
      </c>
      <c r="W19">
        <f>IF((DiscreteStatsTable[[#This Row],[RepsRequested]]&gt;1),DiscreteStatsTable[[#This Row],[HalfWidth]],DiscreteStatsTable[[#This Row],[BatchMeansHalfWidth]])</f>
        <v>2.9268106921041298E-3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1</v>
      </c>
      <c r="D20" t="s">
        <v>79</v>
      </c>
      <c r="E20" t="s">
        <v>80</v>
      </c>
      <c r="F20" t="s">
        <v>81</v>
      </c>
      <c r="G20">
        <v>0</v>
      </c>
      <c r="H20">
        <v>0</v>
      </c>
      <c r="I20">
        <v>0</v>
      </c>
      <c r="J20">
        <v>0</v>
      </c>
      <c r="K20">
        <v>1913</v>
      </c>
      <c r="L20" t="str">
        <f>DiscreteStatsTable[[#This Row],[ProjectName]]&amp;DiscreteStatsTable[[#This Row],[Name]]&amp;DiscreteStatsTable[[#This Row],[Type]]&amp;DiscreteStatsTable[[#This Row],[Source]]</f>
        <v>Unnamed ProjectProcesso A.QueueWaiting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1913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1</v>
      </c>
      <c r="D21" t="s">
        <v>82</v>
      </c>
      <c r="E21" t="s">
        <v>80</v>
      </c>
      <c r="F21" t="s">
        <v>81</v>
      </c>
      <c r="G21">
        <v>5.1123882379363996E-3</v>
      </c>
      <c r="H21">
        <v>2.48566827925796E-3</v>
      </c>
      <c r="I21">
        <v>0</v>
      </c>
      <c r="J21">
        <v>1.1737997348736799</v>
      </c>
      <c r="K21">
        <v>1913</v>
      </c>
      <c r="L21" t="str">
        <f>DiscreteStatsTable[[#This Row],[ProjectName]]&amp;DiscreteStatsTable[[#This Row],[Name]]&amp;DiscreteStatsTable[[#This Row],[Type]]&amp;DiscreteStatsTable[[#This Row],[Source]]</f>
        <v>Unnamed ProjectProcesso B.QueueWaiting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5.1123882379363996E-3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5.1123882379363996E-3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5.1123882379363996E-3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1.1737997348736799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1913</v>
      </c>
      <c r="W21">
        <f>IF((DiscreteStatsTable[[#This Row],[RepsRequested]]&gt;1),DiscreteStatsTable[[#This Row],[HalfWidth]],DiscreteStatsTable[[#This Row],[BatchMeansHalfWidth]])</f>
        <v>2.48566827925796E-3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1</v>
      </c>
      <c r="D22" t="s">
        <v>83</v>
      </c>
      <c r="E22" t="s">
        <v>80</v>
      </c>
      <c r="F22" t="s">
        <v>81</v>
      </c>
      <c r="G22">
        <v>6.8863742711311703E-3</v>
      </c>
      <c r="H22">
        <v>4.9850245567485598E-3</v>
      </c>
      <c r="I22">
        <v>0</v>
      </c>
      <c r="J22">
        <v>1.52032113535824</v>
      </c>
      <c r="K22">
        <v>1291</v>
      </c>
      <c r="L22" t="str">
        <f>DiscreteStatsTable[[#This Row],[ProjectName]]&amp;DiscreteStatsTable[[#This Row],[Name]]&amp;DiscreteStatsTable[[#This Row],[Type]]&amp;DiscreteStatsTable[[#This Row],[Source]]</f>
        <v>Unnamed ProjectProcesso C.QueueWaiting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6.8863742711311703E-3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6.8863742711311703E-3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6.8863742711311703E-3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1.52032113535824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1291</v>
      </c>
      <c r="W22">
        <f>IF((DiscreteStatsTable[[#This Row],[RepsRequested]]&gt;1),DiscreteStatsTable[[#This Row],[HalfWidth]],DiscreteStatsTable[[#This Row],[BatchMeansHalfWidth]])</f>
        <v>4.9850245567485598E-3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1</v>
      </c>
      <c r="D23" t="s">
        <v>84</v>
      </c>
      <c r="E23" t="s">
        <v>80</v>
      </c>
      <c r="F23" t="s">
        <v>81</v>
      </c>
      <c r="G23">
        <v>1.7272494929585199E-4</v>
      </c>
      <c r="H23">
        <v>3.4756913925506098E-4</v>
      </c>
      <c r="I23">
        <v>0</v>
      </c>
      <c r="J23">
        <v>0.103623698629235</v>
      </c>
      <c r="K23">
        <v>621</v>
      </c>
      <c r="L23" t="str">
        <f>DiscreteStatsTable[[#This Row],[ProjectName]]&amp;DiscreteStatsTable[[#This Row],[Name]]&amp;DiscreteStatsTable[[#This Row],[Type]]&amp;DiscreteStatsTable[[#This Row],[Source]]</f>
        <v>Unnamed ProjectProcesso D.QueueWaiting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1.7272494929585199E-4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1.7272494929585199E-4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1.7272494929585199E-4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0.103623698629235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621</v>
      </c>
      <c r="W23">
        <f>IF((DiscreteStatsTable[[#This Row],[RepsRequested]]&gt;1),DiscreteStatsTable[[#This Row],[HalfWidth]],DiscreteStatsTable[[#This Row],[BatchMeansHalfWidth]])</f>
        <v>3.4756913925506098E-4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</v>
      </c>
      <c r="Y23">
        <f>IF(DiscreteStatsTable[[#This Row],[RepsRequested]]=DiscreteStatsTable[[#This Row],[RepsWithStatObserved]],1,0)</f>
        <v>1</v>
      </c>
    </row>
  </sheetData>
  <phoneticPr fontId="2" type="noConversion"/>
  <conditionalFormatting sqref="H2:H23 Q2:Q23">
    <cfRule type="expression" dxfId="19" priority="23">
      <formula>H2=200000000000000000000</formula>
    </cfRule>
  </conditionalFormatting>
  <conditionalFormatting sqref="H2:H23">
    <cfRule type="expression" dxfId="18" priority="21">
      <formula>H2=300000000000000000000</formula>
    </cfRule>
  </conditionalFormatting>
  <conditionalFormatting sqref="L2:Y23">
    <cfRule type="expression" dxfId="17" priority="19">
      <formula>MOD(ROW(),2)=0</formula>
    </cfRule>
  </conditionalFormatting>
  <conditionalFormatting sqref="Y2:Y23">
    <cfRule type="expression" dxfId="16" priority="14">
      <formula>Y2=0</formula>
    </cfRule>
    <cfRule type="expression" dxfId="15" priority="16">
      <formula>Y2=1</formula>
    </cfRule>
  </conditionalFormatting>
  <conditionalFormatting sqref="Y3:Y23">
    <cfRule type="expression" dxfId="14" priority="15">
      <formula>Y3=1</formula>
    </cfRule>
  </conditionalFormatting>
  <conditionalFormatting sqref="W2:W23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23 W2:W23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1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6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55.664062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85</v>
      </c>
      <c r="E2" t="s">
        <v>86</v>
      </c>
      <c r="F2" t="s">
        <v>87</v>
      </c>
      <c r="G2">
        <v>9.1889353799584003E-3</v>
      </c>
      <c r="H2">
        <v>5.7701342153944899E-4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ProjectOPERADOR_AInstantaneous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9.1889353799584003E-3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9.1889353799584003E-3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9.1889353799584003E-3</v>
      </c>
      <c r="U2">
        <f>IF((ContinuousStatsTable[[#This Row],[RepsRequested]]&gt;1),ContinuousStatsTable[[#This Row],[HalfWidth]],ContinuousStatsTable[[#This Row],[BatchMeansHalfWidth]])</f>
        <v>5.7701342153944899E-4</v>
      </c>
    </row>
    <row r="3" spans="1:21" x14ac:dyDescent="0.3">
      <c r="A3" t="s">
        <v>66</v>
      </c>
      <c r="B3" t="s">
        <v>68</v>
      </c>
      <c r="C3">
        <v>1</v>
      </c>
      <c r="D3" t="s">
        <v>85</v>
      </c>
      <c r="E3" t="s">
        <v>88</v>
      </c>
      <c r="F3" t="s">
        <v>87</v>
      </c>
      <c r="G3">
        <v>1.8377870759916801E-2</v>
      </c>
      <c r="H3">
        <v>1.1540268430788999E-3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ProjectOPERADOR_ANumber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1.8377870759916801E-2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1.8377870759916801E-2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1.8377870759916801E-2</v>
      </c>
      <c r="U3">
        <f>IF((ContinuousStatsTable[[#This Row],[RepsRequested]]&gt;1),ContinuousStatsTable[[#This Row],[HalfWidth]],ContinuousStatsTable[[#This Row],[BatchMeansHalfWidth]])</f>
        <v>1.1540268430788999E-3</v>
      </c>
    </row>
    <row r="4" spans="1:21" x14ac:dyDescent="0.3">
      <c r="A4" t="s">
        <v>66</v>
      </c>
      <c r="B4" t="s">
        <v>68</v>
      </c>
      <c r="C4">
        <v>1</v>
      </c>
      <c r="D4" t="s">
        <v>85</v>
      </c>
      <c r="E4" t="s">
        <v>89</v>
      </c>
      <c r="F4" t="s">
        <v>87</v>
      </c>
      <c r="G4">
        <v>2</v>
      </c>
      <c r="H4">
        <v>2E+20</v>
      </c>
      <c r="I4">
        <v>2</v>
      </c>
      <c r="J4">
        <v>2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ProjectOPERADOR_ANumber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66</v>
      </c>
      <c r="B5" t="s">
        <v>68</v>
      </c>
      <c r="C5">
        <v>1</v>
      </c>
      <c r="D5" t="s">
        <v>90</v>
      </c>
      <c r="E5" t="s">
        <v>86</v>
      </c>
      <c r="F5" t="s">
        <v>87</v>
      </c>
      <c r="G5">
        <v>2.1291951175662498E-2</v>
      </c>
      <c r="H5">
        <v>1.4028844178007899E-3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ProjectOPERADOR_BInstantaneous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2.1291951175662498E-2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2.1291951175662498E-2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2.1291951175662498E-2</v>
      </c>
      <c r="U5">
        <f>IF((ContinuousStatsTable[[#This Row],[RepsRequested]]&gt;1),ContinuousStatsTable[[#This Row],[HalfWidth]],ContinuousStatsTable[[#This Row],[BatchMeansHalfWidth]])</f>
        <v>1.4028844178007899E-3</v>
      </c>
    </row>
    <row r="6" spans="1:21" x14ac:dyDescent="0.3">
      <c r="A6" t="s">
        <v>66</v>
      </c>
      <c r="B6" t="s">
        <v>68</v>
      </c>
      <c r="C6">
        <v>1</v>
      </c>
      <c r="D6" t="s">
        <v>90</v>
      </c>
      <c r="E6" t="s">
        <v>88</v>
      </c>
      <c r="F6" t="s">
        <v>87</v>
      </c>
      <c r="G6">
        <v>2.1291951175662498E-2</v>
      </c>
      <c r="H6">
        <v>1.4028844178007899E-3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ProjectOPERADOR_BNumber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2.1291951175662498E-2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2.1291951175662498E-2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2.1291951175662498E-2</v>
      </c>
      <c r="U6">
        <f>IF((ContinuousStatsTable[[#This Row],[RepsRequested]]&gt;1),ContinuousStatsTable[[#This Row],[HalfWidth]],ContinuousStatsTable[[#This Row],[BatchMeansHalfWidth]])</f>
        <v>1.4028844178007899E-3</v>
      </c>
    </row>
    <row r="7" spans="1:21" x14ac:dyDescent="0.3">
      <c r="A7" t="s">
        <v>66</v>
      </c>
      <c r="B7" t="s">
        <v>68</v>
      </c>
      <c r="C7">
        <v>1</v>
      </c>
      <c r="D7" t="s">
        <v>90</v>
      </c>
      <c r="E7" t="s">
        <v>89</v>
      </c>
      <c r="F7" t="s">
        <v>87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ProjectOPERADOR_BNumber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66</v>
      </c>
      <c r="B8" t="s">
        <v>68</v>
      </c>
      <c r="C8">
        <v>1</v>
      </c>
      <c r="D8" t="s">
        <v>91</v>
      </c>
      <c r="E8" t="s">
        <v>86</v>
      </c>
      <c r="F8" t="s">
        <v>87</v>
      </c>
      <c r="G8">
        <v>1.24524287545966E-2</v>
      </c>
      <c r="H8">
        <v>1.1027464893348E-3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ProjectOPERADOR_CInstantaneous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1.24524287545966E-2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1.24524287545966E-2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1.24524287545966E-2</v>
      </c>
      <c r="U8">
        <f>IF((ContinuousStatsTable[[#This Row],[RepsRequested]]&gt;1),ContinuousStatsTable[[#This Row],[HalfWidth]],ContinuousStatsTable[[#This Row],[BatchMeansHalfWidth]])</f>
        <v>1.1027464893348E-3</v>
      </c>
    </row>
    <row r="9" spans="1:21" x14ac:dyDescent="0.3">
      <c r="A9" t="s">
        <v>66</v>
      </c>
      <c r="B9" t="s">
        <v>68</v>
      </c>
      <c r="C9">
        <v>1</v>
      </c>
      <c r="D9" t="s">
        <v>91</v>
      </c>
      <c r="E9" t="s">
        <v>88</v>
      </c>
      <c r="F9" t="s">
        <v>87</v>
      </c>
      <c r="G9">
        <v>1.24524287545966E-2</v>
      </c>
      <c r="H9">
        <v>1.1027464893348E-3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ProjectOPERADOR_CNumber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1.24524287545966E-2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1.24524287545966E-2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1.24524287545966E-2</v>
      </c>
      <c r="U9">
        <f>IF((ContinuousStatsTable[[#This Row],[RepsRequested]]&gt;1),ContinuousStatsTable[[#This Row],[HalfWidth]],ContinuousStatsTable[[#This Row],[BatchMeansHalfWidth]])</f>
        <v>1.1027464893348E-3</v>
      </c>
    </row>
    <row r="10" spans="1:21" x14ac:dyDescent="0.3">
      <c r="A10" t="s">
        <v>66</v>
      </c>
      <c r="B10" t="s">
        <v>68</v>
      </c>
      <c r="C10">
        <v>1</v>
      </c>
      <c r="D10" t="s">
        <v>91</v>
      </c>
      <c r="E10" t="s">
        <v>89</v>
      </c>
      <c r="F10" t="s">
        <v>87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ProjectOPERADOR_CNumber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">
      <c r="A11" t="s">
        <v>66</v>
      </c>
      <c r="B11" t="s">
        <v>68</v>
      </c>
      <c r="C11">
        <v>1</v>
      </c>
      <c r="D11" t="s">
        <v>92</v>
      </c>
      <c r="E11" t="s">
        <v>86</v>
      </c>
      <c r="F11" t="s">
        <v>87</v>
      </c>
      <c r="G11">
        <v>4.0131457124476201E-3</v>
      </c>
      <c r="H11">
        <v>4.4675360946001298E-4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ProjectOPERADOR_DInstantaneous UtilizationResource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4.0131457124476201E-3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4.0131457124476201E-3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4.0131457124476201E-3</v>
      </c>
      <c r="U11">
        <f>IF((ContinuousStatsTable[[#This Row],[RepsRequested]]&gt;1),ContinuousStatsTable[[#This Row],[HalfWidth]],ContinuousStatsTable[[#This Row],[BatchMeansHalfWidth]])</f>
        <v>4.4675360946001298E-4</v>
      </c>
    </row>
    <row r="12" spans="1:21" x14ac:dyDescent="0.3">
      <c r="A12" t="s">
        <v>66</v>
      </c>
      <c r="B12" t="s">
        <v>68</v>
      </c>
      <c r="C12">
        <v>1</v>
      </c>
      <c r="D12" t="s">
        <v>92</v>
      </c>
      <c r="E12" t="s">
        <v>88</v>
      </c>
      <c r="F12" t="s">
        <v>87</v>
      </c>
      <c r="G12">
        <v>4.0131457124476201E-3</v>
      </c>
      <c r="H12">
        <v>4.4675360946001298E-4</v>
      </c>
      <c r="I12">
        <v>0</v>
      </c>
      <c r="J12">
        <v>1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ProjectOPERADOR_DNumber BusyResource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4.0131457124476201E-3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4.0131457124476201E-3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4.0131457124476201E-3</v>
      </c>
      <c r="U12">
        <f>IF((ContinuousStatsTable[[#This Row],[RepsRequested]]&gt;1),ContinuousStatsTable[[#This Row],[HalfWidth]],ContinuousStatsTable[[#This Row],[BatchMeansHalfWidth]])</f>
        <v>4.4675360946001298E-4</v>
      </c>
    </row>
    <row r="13" spans="1:21" x14ac:dyDescent="0.3">
      <c r="A13" t="s">
        <v>66</v>
      </c>
      <c r="B13" t="s">
        <v>68</v>
      </c>
      <c r="C13">
        <v>1</v>
      </c>
      <c r="D13" t="s">
        <v>92</v>
      </c>
      <c r="E13" t="s">
        <v>89</v>
      </c>
      <c r="F13" t="s">
        <v>87</v>
      </c>
      <c r="G13">
        <v>1</v>
      </c>
      <c r="H13">
        <v>2E+20</v>
      </c>
      <c r="I13">
        <v>1</v>
      </c>
      <c r="J13">
        <v>1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ProjectOPERADOR_DNumber ScheduledResource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1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>
        <f>IF((ContinuousStatsTable[[#This Row],[RepsRequested]]&gt;1),ContinuousStatsTable[[#This Row],[HalfWidth]],ContinuousStatsTable[[#This Row],[BatchMeansHalfWidth]])</f>
        <v>2E+20</v>
      </c>
    </row>
    <row r="14" spans="1:21" x14ac:dyDescent="0.3">
      <c r="A14" t="s">
        <v>66</v>
      </c>
      <c r="B14" t="s">
        <v>68</v>
      </c>
      <c r="C14">
        <v>1</v>
      </c>
      <c r="D14" t="s">
        <v>93</v>
      </c>
      <c r="E14" t="s">
        <v>94</v>
      </c>
      <c r="F14" t="s">
        <v>71</v>
      </c>
      <c r="G14">
        <v>0</v>
      </c>
      <c r="H14">
        <v>2E+20</v>
      </c>
      <c r="I14">
        <v>0</v>
      </c>
      <c r="J14">
        <v>1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</v>
      </c>
      <c r="U14">
        <f>IF((ContinuousStatsTable[[#This Row],[RepsRequested]]&gt;1),ContinuousStatsTable[[#This Row],[HalfWidth]],ContinuousStatsTable[[#This Row],[BatchMeansHalfWidth]])</f>
        <v>2E+20</v>
      </c>
    </row>
    <row r="15" spans="1:21" x14ac:dyDescent="0.3">
      <c r="A15" t="s">
        <v>66</v>
      </c>
      <c r="B15" t="s">
        <v>68</v>
      </c>
      <c r="C15">
        <v>1</v>
      </c>
      <c r="D15" t="s">
        <v>69</v>
      </c>
      <c r="E15" t="s">
        <v>94</v>
      </c>
      <c r="F15" t="s">
        <v>71</v>
      </c>
      <c r="G15">
        <v>0.28036293058712097</v>
      </c>
      <c r="H15">
        <v>2.18371683604347E-2</v>
      </c>
      <c r="I15">
        <v>0</v>
      </c>
      <c r="J15">
        <v>4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ProjectPART 1WIPEntity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0.28036293058712097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0.28036293058712097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0.28036293058712097</v>
      </c>
      <c r="U15">
        <f>IF((ContinuousStatsTable[[#This Row],[RepsRequested]]&gt;1),ContinuousStatsTable[[#This Row],[HalfWidth]],ContinuousStatsTable[[#This Row],[BatchMeansHalfWidth]])</f>
        <v>2.18371683604347E-2</v>
      </c>
    </row>
    <row r="16" spans="1:21" x14ac:dyDescent="0.3">
      <c r="A16" t="s">
        <v>66</v>
      </c>
      <c r="B16" t="s">
        <v>68</v>
      </c>
      <c r="C16">
        <v>1</v>
      </c>
      <c r="D16" t="s">
        <v>77</v>
      </c>
      <c r="E16" t="s">
        <v>94</v>
      </c>
      <c r="F16" t="s">
        <v>71</v>
      </c>
      <c r="G16">
        <v>0.27660822882568298</v>
      </c>
      <c r="H16">
        <v>2.0167565350709502E-2</v>
      </c>
      <c r="I16">
        <v>0</v>
      </c>
      <c r="J16">
        <v>3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ProjectPART 2WIPEntity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0.27660822882568298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0.27660822882568298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0.27660822882568298</v>
      </c>
      <c r="U16">
        <f>IF((ContinuousStatsTable[[#This Row],[RepsRequested]]&gt;1),ContinuousStatsTable[[#This Row],[HalfWidth]],ContinuousStatsTable[[#This Row],[BatchMeansHalfWidth]])</f>
        <v>2.0167565350709502E-2</v>
      </c>
    </row>
    <row r="17" spans="1:21" x14ac:dyDescent="0.3">
      <c r="A17" t="s">
        <v>66</v>
      </c>
      <c r="B17" t="s">
        <v>68</v>
      </c>
      <c r="C17">
        <v>1</v>
      </c>
      <c r="D17" t="s">
        <v>78</v>
      </c>
      <c r="E17" t="s">
        <v>94</v>
      </c>
      <c r="F17" t="s">
        <v>71</v>
      </c>
      <c r="G17">
        <v>0.26515112730766299</v>
      </c>
      <c r="H17">
        <v>2.16104500415879E-2</v>
      </c>
      <c r="I17">
        <v>0</v>
      </c>
      <c r="J17">
        <v>4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ProjectPART 3WIPEntity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0.26515112730766299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0.26515112730766299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0.26515112730766299</v>
      </c>
      <c r="U17">
        <f>IF((ContinuousStatsTable[[#This Row],[RepsRequested]]&gt;1),ContinuousStatsTable[[#This Row],[HalfWidth]],ContinuousStatsTable[[#This Row],[BatchMeansHalfWidth]])</f>
        <v>2.16104500415879E-2</v>
      </c>
    </row>
    <row r="18" spans="1:21" x14ac:dyDescent="0.3">
      <c r="A18" t="s">
        <v>66</v>
      </c>
      <c r="B18" t="s">
        <v>68</v>
      </c>
      <c r="C18">
        <v>1</v>
      </c>
      <c r="D18" t="s">
        <v>79</v>
      </c>
      <c r="E18" t="s">
        <v>95</v>
      </c>
      <c r="F18" t="s">
        <v>81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ProjectProcesso A.QueueNumber WaitingQueue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>
        <f>IF((ContinuousStatsTable[[#This Row],[RepsRequested]]&gt;1),ContinuousStatsTable[[#This Row],[HalfWidth]],ContinuousStatsTable[[#This Row],[BatchMeansHalfWidth]])</f>
        <v>2E+20</v>
      </c>
    </row>
    <row r="19" spans="1:21" x14ac:dyDescent="0.3">
      <c r="A19" t="s">
        <v>66</v>
      </c>
      <c r="B19" t="s">
        <v>68</v>
      </c>
      <c r="C19">
        <v>1</v>
      </c>
      <c r="D19" t="s">
        <v>82</v>
      </c>
      <c r="E19" t="s">
        <v>95</v>
      </c>
      <c r="F19" t="s">
        <v>81</v>
      </c>
      <c r="G19">
        <v>4.8899993495861601E-4</v>
      </c>
      <c r="H19">
        <v>2E+20</v>
      </c>
      <c r="I19">
        <v>0</v>
      </c>
      <c r="J19">
        <v>1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ProjectProcesso B.QueueNumber WaitingQueue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4.8899993495861601E-4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4.8899993495861601E-4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4.8899993495861601E-4</v>
      </c>
      <c r="U19">
        <f>IF((ContinuousStatsTable[[#This Row],[RepsRequested]]&gt;1),ContinuousStatsTable[[#This Row],[HalfWidth]],ContinuousStatsTable[[#This Row],[BatchMeansHalfWidth]])</f>
        <v>2E+20</v>
      </c>
    </row>
    <row r="20" spans="1:21" x14ac:dyDescent="0.3">
      <c r="A20" t="s">
        <v>66</v>
      </c>
      <c r="B20" t="s">
        <v>68</v>
      </c>
      <c r="C20">
        <v>1</v>
      </c>
      <c r="D20" t="s">
        <v>83</v>
      </c>
      <c r="E20" t="s">
        <v>95</v>
      </c>
      <c r="F20" t="s">
        <v>81</v>
      </c>
      <c r="G20">
        <v>4.4451545920151702E-4</v>
      </c>
      <c r="H20">
        <v>2E+20</v>
      </c>
      <c r="I20">
        <v>0</v>
      </c>
      <c r="J20">
        <v>2</v>
      </c>
      <c r="K20">
        <v>0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ProjectProcesso C.QueueNumber WaitingQueue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4.4451545920151702E-4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4.4451545920151702E-4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4.4451545920151702E-4</v>
      </c>
      <c r="U20">
        <f>IF((ContinuousStatsTable[[#This Row],[RepsRequested]]&gt;1),ContinuousStatsTable[[#This Row],[HalfWidth]],ContinuousStatsTable[[#This Row],[BatchMeansHalfWidth]])</f>
        <v>2E+20</v>
      </c>
    </row>
    <row r="21" spans="1:21" x14ac:dyDescent="0.3">
      <c r="A21" t="s">
        <v>66</v>
      </c>
      <c r="B21" t="s">
        <v>68</v>
      </c>
      <c r="C21">
        <v>1</v>
      </c>
      <c r="D21" t="s">
        <v>84</v>
      </c>
      <c r="E21" t="s">
        <v>95</v>
      </c>
      <c r="F21" t="s">
        <v>81</v>
      </c>
      <c r="G21">
        <v>5.36310967563622E-6</v>
      </c>
      <c r="H21">
        <v>2E+20</v>
      </c>
      <c r="I21">
        <v>0</v>
      </c>
      <c r="J21">
        <v>1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ProjectProcesso D.QueueNumber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5.36310967563622E-6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5.36310967563622E-6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5.36310967563622E-6</v>
      </c>
      <c r="U21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1">
    <cfRule type="expression" dxfId="10" priority="9">
      <formula>H2=200000000000000000000</formula>
    </cfRule>
  </conditionalFormatting>
  <conditionalFormatting sqref="H2:H21">
    <cfRule type="expression" dxfId="9" priority="7">
      <formula>H2=300000000000000000000</formula>
    </cfRule>
  </conditionalFormatting>
  <conditionalFormatting sqref="M2:U21">
    <cfRule type="expression" dxfId="8" priority="5">
      <formula>MOD(ROW(),2)=0</formula>
    </cfRule>
  </conditionalFormatting>
  <conditionalFormatting sqref="U2:U21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21 U2:U21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8"/>
  <sheetViews>
    <sheetView workbookViewId="0">
      <selection activeCell="H2" sqref="H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0.10937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69.77734375" bestFit="1" customWidth="1"/>
    <col min="10" max="10" width="16.21875" bestFit="1" customWidth="1"/>
    <col min="11" max="11" width="12" customWidth="1"/>
    <col min="12" max="12" width="19" bestFit="1" customWidth="1"/>
    <col min="13" max="13" width="19.44140625" bestFit="1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96</v>
      </c>
      <c r="E2" t="s">
        <v>97</v>
      </c>
      <c r="F2" t="s">
        <v>87</v>
      </c>
      <c r="G2">
        <v>1913</v>
      </c>
      <c r="H2">
        <v>0</v>
      </c>
      <c r="I2" t="str">
        <f>OutputTable[[#This Row],[ProjectName]]&amp;OutputTable[[#This Row],[Name]]&amp;OutputTable[[#This Row],[Type]]&amp;OutputTable[[#This Row],[Source]]</f>
        <v>Unnamed ProjectOPERADOR_A.NumberSeizedTotal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1913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1913</v>
      </c>
      <c r="P2" cm="1">
        <f t="array" ref="P2">MAX(IF((OutputTable[GroupByKey]=OutputTable[[#This Row],[GroupByKey]]),(OutputTable[GroupByKey]=OutputTable[[#This Row],[GroupByKey]])*OutputTable[RecordedValue]))</f>
        <v>1913</v>
      </c>
    </row>
    <row r="3" spans="1:16" x14ac:dyDescent="0.3">
      <c r="A3" t="s">
        <v>66</v>
      </c>
      <c r="B3" t="s">
        <v>68</v>
      </c>
      <c r="C3">
        <v>1</v>
      </c>
      <c r="D3" t="s">
        <v>98</v>
      </c>
      <c r="E3" t="s">
        <v>99</v>
      </c>
      <c r="F3" t="s">
        <v>87</v>
      </c>
      <c r="G3">
        <v>9.1889353799584003E-3</v>
      </c>
      <c r="H3">
        <v>0</v>
      </c>
      <c r="I3" t="str">
        <f>OutputTable[[#This Row],[ProjectName]]&amp;OutputTable[[#This Row],[Name]]&amp;OutputTable[[#This Row],[Type]]&amp;OutputTable[[#This Row],[Source]]</f>
        <v>Unnamed ProjectOPERADOR_A.ScheduledUtilizationScheduled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9.1889353799584003E-3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9.1889353799584003E-3</v>
      </c>
      <c r="P3" cm="1">
        <f t="array" ref="P3">MAX(IF((OutputTable[GroupByKey]=OutputTable[[#This Row],[GroupByKey]]),(OutputTable[GroupByKey]=OutputTable[[#This Row],[GroupByKey]])*OutputTable[RecordedValue]))</f>
        <v>9.1889353799584003E-3</v>
      </c>
    </row>
    <row r="4" spans="1:16" x14ac:dyDescent="0.3">
      <c r="A4" t="s">
        <v>66</v>
      </c>
      <c r="B4" t="s">
        <v>68</v>
      </c>
      <c r="C4">
        <v>1</v>
      </c>
      <c r="D4" t="s">
        <v>100</v>
      </c>
      <c r="E4" t="s">
        <v>97</v>
      </c>
      <c r="F4" t="s">
        <v>87</v>
      </c>
      <c r="G4">
        <v>1913</v>
      </c>
      <c r="H4">
        <v>0</v>
      </c>
      <c r="I4" t="str">
        <f>OutputTable[[#This Row],[ProjectName]]&amp;OutputTable[[#This Row],[Name]]&amp;OutputTable[[#This Row],[Type]]&amp;OutputTable[[#This Row],[Source]]</f>
        <v>Unnamed ProjectOPERADOR_B.NumberSeizedTotal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1913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1913</v>
      </c>
      <c r="P4" cm="1">
        <f t="array" ref="P4">MAX(IF((OutputTable[GroupByKey]=OutputTable[[#This Row],[GroupByKey]]),(OutputTable[GroupByKey]=OutputTable[[#This Row],[GroupByKey]])*OutputTable[RecordedValue]))</f>
        <v>1913</v>
      </c>
    </row>
    <row r="5" spans="1:16" x14ac:dyDescent="0.3">
      <c r="A5" t="s">
        <v>66</v>
      </c>
      <c r="B5" t="s">
        <v>68</v>
      </c>
      <c r="C5">
        <v>1</v>
      </c>
      <c r="D5" t="s">
        <v>101</v>
      </c>
      <c r="E5" t="s">
        <v>99</v>
      </c>
      <c r="F5" t="s">
        <v>87</v>
      </c>
      <c r="G5">
        <v>2.1291951175662498E-2</v>
      </c>
      <c r="H5">
        <v>0</v>
      </c>
      <c r="I5" t="str">
        <f>OutputTable[[#This Row],[ProjectName]]&amp;OutputTable[[#This Row],[Name]]&amp;OutputTable[[#This Row],[Type]]&amp;OutputTable[[#This Row],[Source]]</f>
        <v>Unnamed ProjectOPERADOR_B.ScheduledUtilizationScheduled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2.1291951175662498E-2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2.1291951175662498E-2</v>
      </c>
      <c r="P5" cm="1">
        <f t="array" ref="P5">MAX(IF((OutputTable[GroupByKey]=OutputTable[[#This Row],[GroupByKey]]),(OutputTable[GroupByKey]=OutputTable[[#This Row],[GroupByKey]])*OutputTable[RecordedValue]))</f>
        <v>2.1291951175662498E-2</v>
      </c>
    </row>
    <row r="6" spans="1:16" x14ac:dyDescent="0.3">
      <c r="A6" t="s">
        <v>66</v>
      </c>
      <c r="B6" t="s">
        <v>68</v>
      </c>
      <c r="C6">
        <v>1</v>
      </c>
      <c r="D6" t="s">
        <v>102</v>
      </c>
      <c r="E6" t="s">
        <v>97</v>
      </c>
      <c r="F6" t="s">
        <v>87</v>
      </c>
      <c r="G6">
        <v>1291</v>
      </c>
      <c r="H6">
        <v>0</v>
      </c>
      <c r="I6" t="str">
        <f>OutputTable[[#This Row],[ProjectName]]&amp;OutputTable[[#This Row],[Name]]&amp;OutputTable[[#This Row],[Type]]&amp;OutputTable[[#This Row],[Source]]</f>
        <v>Unnamed ProjectOPERADOR_C.NumberSeizedTotal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1291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1291</v>
      </c>
      <c r="P6" cm="1">
        <f t="array" ref="P6">MAX(IF((OutputTable[GroupByKey]=OutputTable[[#This Row],[GroupByKey]]),(OutputTable[GroupByKey]=OutputTable[[#This Row],[GroupByKey]])*OutputTable[RecordedValue]))</f>
        <v>1291</v>
      </c>
    </row>
    <row r="7" spans="1:16" x14ac:dyDescent="0.3">
      <c r="A7" t="s">
        <v>66</v>
      </c>
      <c r="B7" t="s">
        <v>68</v>
      </c>
      <c r="C7">
        <v>1</v>
      </c>
      <c r="D7" t="s">
        <v>103</v>
      </c>
      <c r="E7" t="s">
        <v>99</v>
      </c>
      <c r="F7" t="s">
        <v>87</v>
      </c>
      <c r="G7">
        <v>1.24524287545966E-2</v>
      </c>
      <c r="H7">
        <v>0</v>
      </c>
      <c r="I7" t="str">
        <f>OutputTable[[#This Row],[ProjectName]]&amp;OutputTable[[#This Row],[Name]]&amp;OutputTable[[#This Row],[Type]]&amp;OutputTable[[#This Row],[Source]]</f>
        <v>Unnamed ProjectOPERADOR_C.ScheduledUtilizationScheduled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1.24524287545966E-2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1.24524287545966E-2</v>
      </c>
      <c r="P7" cm="1">
        <f t="array" ref="P7">MAX(IF((OutputTable[GroupByKey]=OutputTable[[#This Row],[GroupByKey]]),(OutputTable[GroupByKey]=OutputTable[[#This Row],[GroupByKey]])*OutputTable[RecordedValue]))</f>
        <v>1.24524287545966E-2</v>
      </c>
    </row>
    <row r="8" spans="1:16" x14ac:dyDescent="0.3">
      <c r="A8" t="s">
        <v>66</v>
      </c>
      <c r="B8" t="s">
        <v>68</v>
      </c>
      <c r="C8">
        <v>1</v>
      </c>
      <c r="D8" t="s">
        <v>104</v>
      </c>
      <c r="E8" t="s">
        <v>97</v>
      </c>
      <c r="F8" t="s">
        <v>87</v>
      </c>
      <c r="G8">
        <v>621</v>
      </c>
      <c r="H8">
        <v>0</v>
      </c>
      <c r="I8" t="str">
        <f>OutputTable[[#This Row],[ProjectName]]&amp;OutputTable[[#This Row],[Name]]&amp;OutputTable[[#This Row],[Type]]&amp;OutputTable[[#This Row],[Source]]</f>
        <v>Unnamed ProjectOPERADOR_D.NumberSeizedTotal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621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621</v>
      </c>
      <c r="P8" cm="1">
        <f t="array" ref="P8">MAX(IF((OutputTable[GroupByKey]=OutputTable[[#This Row],[GroupByKey]]),(OutputTable[GroupByKey]=OutputTable[[#This Row],[GroupByKey]])*OutputTable[RecordedValue]))</f>
        <v>621</v>
      </c>
    </row>
    <row r="9" spans="1:16" x14ac:dyDescent="0.3">
      <c r="A9" t="s">
        <v>66</v>
      </c>
      <c r="B9" t="s">
        <v>68</v>
      </c>
      <c r="C9">
        <v>1</v>
      </c>
      <c r="D9" t="s">
        <v>105</v>
      </c>
      <c r="E9" t="s">
        <v>99</v>
      </c>
      <c r="F9" t="s">
        <v>87</v>
      </c>
      <c r="G9">
        <v>4.0131457124476201E-3</v>
      </c>
      <c r="H9">
        <v>0</v>
      </c>
      <c r="I9" t="str">
        <f>OutputTable[[#This Row],[ProjectName]]&amp;OutputTable[[#This Row],[Name]]&amp;OutputTable[[#This Row],[Type]]&amp;OutputTable[[#This Row],[Source]]</f>
        <v>Unnamed ProjectOPERADOR_D.ScheduledUtilizationScheduled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4.0131457124476201E-3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4.0131457124476201E-3</v>
      </c>
      <c r="P9" cm="1">
        <f t="array" ref="P9">MAX(IF((OutputTable[GroupByKey]=OutputTable[[#This Row],[GroupByKey]]),(OutputTable[GroupByKey]=OutputTable[[#This Row],[GroupByKey]])*OutputTable[RecordedValue]))</f>
        <v>4.0131457124476201E-3</v>
      </c>
    </row>
    <row r="10" spans="1:16" x14ac:dyDescent="0.3">
      <c r="A10" t="s">
        <v>66</v>
      </c>
      <c r="B10" t="s">
        <v>68</v>
      </c>
      <c r="C10">
        <v>1</v>
      </c>
      <c r="D10" t="s">
        <v>106</v>
      </c>
      <c r="E10" t="s">
        <v>107</v>
      </c>
      <c r="F10" t="s">
        <v>71</v>
      </c>
      <c r="G10">
        <v>649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ProjectPART 1.NumberInNumber InEntity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649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649</v>
      </c>
      <c r="P10" cm="1">
        <f t="array" ref="P10">MAX(IF((OutputTable[GroupByKey]=OutputTable[[#This Row],[GroupByKey]]),(OutputTable[GroupByKey]=OutputTable[[#This Row],[GroupByKey]])*OutputTable[RecordedValue]))</f>
        <v>649</v>
      </c>
    </row>
    <row r="11" spans="1:16" x14ac:dyDescent="0.3">
      <c r="A11" t="s">
        <v>66</v>
      </c>
      <c r="B11" t="s">
        <v>68</v>
      </c>
      <c r="C11">
        <v>1</v>
      </c>
      <c r="D11" t="s">
        <v>108</v>
      </c>
      <c r="E11" t="s">
        <v>109</v>
      </c>
      <c r="F11" t="s">
        <v>71</v>
      </c>
      <c r="G11">
        <v>649</v>
      </c>
      <c r="H11">
        <v>0</v>
      </c>
      <c r="I11" t="str">
        <f>OutputTable[[#This Row],[ProjectName]]&amp;OutputTable[[#This Row],[Name]]&amp;OutputTable[[#This Row],[Type]]&amp;OutputTable[[#This Row],[Source]]</f>
        <v>Unnamed ProjectPART 1.NumberOutNumber OutEntity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649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649</v>
      </c>
      <c r="P11" cm="1">
        <f t="array" ref="P11">MAX(IF((OutputTable[GroupByKey]=OutputTable[[#This Row],[GroupByKey]]),(OutputTable[GroupByKey]=OutputTable[[#This Row],[GroupByKey]])*OutputTable[RecordedValue]))</f>
        <v>649</v>
      </c>
    </row>
    <row r="12" spans="1:16" x14ac:dyDescent="0.3">
      <c r="A12" t="s">
        <v>66</v>
      </c>
      <c r="B12" t="s">
        <v>68</v>
      </c>
      <c r="C12">
        <v>1</v>
      </c>
      <c r="D12" t="s">
        <v>110</v>
      </c>
      <c r="E12" t="s">
        <v>107</v>
      </c>
      <c r="F12" t="s">
        <v>71</v>
      </c>
      <c r="G12">
        <v>643</v>
      </c>
      <c r="H12">
        <v>0</v>
      </c>
      <c r="I12" t="str">
        <f>OutputTable[[#This Row],[ProjectName]]&amp;OutputTable[[#This Row],[Name]]&amp;OutputTable[[#This Row],[Type]]&amp;OutputTable[[#This Row],[Source]]</f>
        <v>Unnamed ProjectPART 2.NumberInNumber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643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643</v>
      </c>
      <c r="P12" cm="1">
        <f t="array" ref="P12">MAX(IF((OutputTable[GroupByKey]=OutputTable[[#This Row],[GroupByKey]]),(OutputTable[GroupByKey]=OutputTable[[#This Row],[GroupByKey]])*OutputTable[RecordedValue]))</f>
        <v>643</v>
      </c>
    </row>
    <row r="13" spans="1:16" x14ac:dyDescent="0.3">
      <c r="A13" t="s">
        <v>66</v>
      </c>
      <c r="B13" t="s">
        <v>68</v>
      </c>
      <c r="C13">
        <v>1</v>
      </c>
      <c r="D13" t="s">
        <v>111</v>
      </c>
      <c r="E13" t="s">
        <v>109</v>
      </c>
      <c r="F13" t="s">
        <v>71</v>
      </c>
      <c r="G13">
        <v>642</v>
      </c>
      <c r="H13">
        <v>0</v>
      </c>
      <c r="I13" t="str">
        <f>OutputTable[[#This Row],[ProjectName]]&amp;OutputTable[[#This Row],[Name]]&amp;OutputTable[[#This Row],[Type]]&amp;OutputTable[[#This Row],[Source]]</f>
        <v>Unnamed ProjectPART 2.NumberOutNumber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</v>
      </c>
      <c r="K13" cm="1">
        <f t="array" ref="K13">IFERROR(AVERAGE(IF((OutputTable[GroupByKey]=OutputTable[[#This Row],[GroupByKey]]),(OutputTable[GroupByKey]=OutputTable[[#This Row],[GroupByKey]])*OutputTable[RecordedValue])),0)</f>
        <v>642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cm="1">
        <f t="array" ref="O13">MIN(IF((OutputTable[GroupByKey]=OutputTable[[#This Row],[GroupByKey]]),(OutputTable[GroupByKey]=OutputTable[[#This Row],[GroupByKey]])*OutputTable[RecordedValue]))</f>
        <v>642</v>
      </c>
      <c r="P13" cm="1">
        <f t="array" ref="P13">MAX(IF((OutputTable[GroupByKey]=OutputTable[[#This Row],[GroupByKey]]),(OutputTable[GroupByKey]=OutputTable[[#This Row],[GroupByKey]])*OutputTable[RecordedValue]))</f>
        <v>642</v>
      </c>
    </row>
    <row r="14" spans="1:16" x14ac:dyDescent="0.3">
      <c r="A14" t="s">
        <v>66</v>
      </c>
      <c r="B14" t="s">
        <v>68</v>
      </c>
      <c r="C14">
        <v>1</v>
      </c>
      <c r="D14" t="s">
        <v>112</v>
      </c>
      <c r="E14" t="s">
        <v>107</v>
      </c>
      <c r="F14" t="s">
        <v>71</v>
      </c>
      <c r="G14">
        <v>621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 3.NumberInNumber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1</v>
      </c>
      <c r="K14" cm="1">
        <f t="array" ref="K14">IFERROR(AVERAGE(IF((OutputTable[GroupByKey]=OutputTable[[#This Row],[GroupByKey]]),(OutputTable[GroupByKey]=OutputTable[[#This Row],[GroupByKey]])*OutputTable[RecordedValue])),0)</f>
        <v>621</v>
      </c>
      <c r="L14" cm="1">
        <f t="array" ref="L14">IFERROR(_xlfn.STDEV.S(IF((OutputTable[GroupByKey]=OutputTable[[#This Row],[GroupByKey]]),(OutputTable[GroupByKey]=OutputTable[[#This Row],[GroupByKey]])*OutputTable[RecordedValue])),0)</f>
        <v>0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cm="1">
        <f t="array" ref="O14">MIN(IF((OutputTable[GroupByKey]=OutputTable[[#This Row],[GroupByKey]]),(OutputTable[GroupByKey]=OutputTable[[#This Row],[GroupByKey]])*OutputTable[RecordedValue]))</f>
        <v>621</v>
      </c>
      <c r="P14" cm="1">
        <f t="array" ref="P14">MAX(IF((OutputTable[GroupByKey]=OutputTable[[#This Row],[GroupByKey]]),(OutputTable[GroupByKey]=OutputTable[[#This Row],[GroupByKey]])*OutputTable[RecordedValue]))</f>
        <v>621</v>
      </c>
    </row>
    <row r="15" spans="1:16" x14ac:dyDescent="0.3">
      <c r="A15" t="s">
        <v>66</v>
      </c>
      <c r="B15" t="s">
        <v>68</v>
      </c>
      <c r="C15">
        <v>1</v>
      </c>
      <c r="D15" t="s">
        <v>113</v>
      </c>
      <c r="E15" t="s">
        <v>109</v>
      </c>
      <c r="F15" t="s">
        <v>71</v>
      </c>
      <c r="G15">
        <v>621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 3.NumberOutNumber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1</v>
      </c>
      <c r="K15" cm="1">
        <f t="array" ref="K15">IFERROR(AVERAGE(IF((OutputTable[GroupByKey]=OutputTable[[#This Row],[GroupByKey]]),(OutputTable[GroupByKey]=OutputTable[[#This Row],[GroupByKey]])*OutputTable[RecordedValue])),0)</f>
        <v>621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 cm="1">
        <f t="array" ref="O15">MIN(IF((OutputTable[GroupByKey]=OutputTable[[#This Row],[GroupByKey]]),(OutputTable[GroupByKey]=OutputTable[[#This Row],[GroupByKey]])*OutputTable[RecordedValue]))</f>
        <v>621</v>
      </c>
      <c r="P15" cm="1">
        <f t="array" ref="P15">MAX(IF((OutputTable[GroupByKey]=OutputTable[[#This Row],[GroupByKey]]),(OutputTable[GroupByKey]=OutputTable[[#This Row],[GroupByKey]])*OutputTable[RecordedValue]))</f>
        <v>621</v>
      </c>
    </row>
    <row r="16" spans="1:16" x14ac:dyDescent="0.3">
      <c r="A16" t="s">
        <v>66</v>
      </c>
      <c r="B16" t="s">
        <v>68</v>
      </c>
      <c r="C16">
        <v>1</v>
      </c>
      <c r="D16" t="s">
        <v>114</v>
      </c>
      <c r="E16" t="s">
        <v>107</v>
      </c>
      <c r="F16" t="s">
        <v>71</v>
      </c>
      <c r="G16">
        <v>1913</v>
      </c>
      <c r="H16">
        <v>0</v>
      </c>
      <c r="I16" t="str">
        <f>OutputTable[[#This Row],[ProjectName]]&amp;OutputTable[[#This Row],[Name]]&amp;OutputTable[[#This Row],[Type]]&amp;OutputTable[[#This Row],[Source]]</f>
        <v>Unnamed ProjectPART.NumberInNumber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1</v>
      </c>
      <c r="K16" cm="1">
        <f t="array" ref="K16">IFERROR(AVERAGE(IF((OutputTable[GroupByKey]=OutputTable[[#This Row],[GroupByKey]]),(OutputTable[GroupByKey]=OutputTable[[#This Row],[GroupByKey]])*OutputTable[RecordedValue])),0)</f>
        <v>1913</v>
      </c>
      <c r="L16" cm="1">
        <f t="array" ref="L16">IFERROR(_xlfn.STDEV.S(IF((OutputTable[GroupByKey]=OutputTable[[#This Row],[GroupByKey]]),(OutputTable[GroupByKey]=OutputTable[[#This Row],[GroupByKey]])*OutputTable[RecordedValue])),0)</f>
        <v>0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 cm="1">
        <f t="array" ref="O16">MIN(IF((OutputTable[GroupByKey]=OutputTable[[#This Row],[GroupByKey]]),(OutputTable[GroupByKey]=OutputTable[[#This Row],[GroupByKey]])*OutputTable[RecordedValue]))</f>
        <v>1913</v>
      </c>
      <c r="P16" cm="1">
        <f t="array" ref="P16">MAX(IF((OutputTable[GroupByKey]=OutputTable[[#This Row],[GroupByKey]]),(OutputTable[GroupByKey]=OutputTable[[#This Row],[GroupByKey]])*OutputTable[RecordedValue]))</f>
        <v>1913</v>
      </c>
    </row>
    <row r="17" spans="1:16" x14ac:dyDescent="0.3">
      <c r="A17" t="s">
        <v>66</v>
      </c>
      <c r="B17" t="s">
        <v>68</v>
      </c>
      <c r="C17">
        <v>1</v>
      </c>
      <c r="D17" t="s">
        <v>115</v>
      </c>
      <c r="E17" t="s">
        <v>109</v>
      </c>
      <c r="F17" t="s">
        <v>71</v>
      </c>
      <c r="G17">
        <v>1913</v>
      </c>
      <c r="H17">
        <v>0</v>
      </c>
      <c r="I17" t="str">
        <f>OutputTable[[#This Row],[ProjectName]]&amp;OutputTable[[#This Row],[Name]]&amp;OutputTable[[#This Row],[Type]]&amp;OutputTable[[#This Row],[Source]]</f>
        <v>Unnamed ProjectPART.NumberOutNumber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1</v>
      </c>
      <c r="K17" cm="1">
        <f t="array" ref="K17">IFERROR(AVERAGE(IF((OutputTable[GroupByKey]=OutputTable[[#This Row],[GroupByKey]]),(OutputTable[GroupByKey]=OutputTable[[#This Row],[GroupByKey]])*OutputTable[RecordedValue])),0)</f>
        <v>1913</v>
      </c>
      <c r="L17" cm="1">
        <f t="array" ref="L17">IFERROR(_xlfn.STDEV.S(IF((OutputTable[GroupByKey]=OutputTable[[#This Row],[GroupByKey]]),(OutputTable[GroupByKey]=OutputTable[[#This Row],[GroupByKey]])*OutputTable[RecordedValue])),0)</f>
        <v>0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 cm="1">
        <f t="array" ref="O17">MIN(IF((OutputTable[GroupByKey]=OutputTable[[#This Row],[GroupByKey]]),(OutputTable[GroupByKey]=OutputTable[[#This Row],[GroupByKey]])*OutputTable[RecordedValue]))</f>
        <v>1913</v>
      </c>
      <c r="P17" cm="1">
        <f t="array" ref="P17">MAX(IF((OutputTable[GroupByKey]=OutputTable[[#This Row],[GroupByKey]]),(OutputTable[GroupByKey]=OutputTable[[#This Row],[GroupByKey]])*OutputTable[RecordedValue]))</f>
        <v>1913</v>
      </c>
    </row>
    <row r="18" spans="1:16" x14ac:dyDescent="0.3">
      <c r="A18" t="s">
        <v>66</v>
      </c>
      <c r="B18" t="s">
        <v>68</v>
      </c>
      <c r="C18">
        <v>1</v>
      </c>
      <c r="D18" t="s">
        <v>116</v>
      </c>
      <c r="E18" t="s">
        <v>109</v>
      </c>
      <c r="F18" t="s">
        <v>117</v>
      </c>
      <c r="G18">
        <v>1912</v>
      </c>
      <c r="H18">
        <v>0</v>
      </c>
      <c r="I18" t="str">
        <f>OutputTable[[#This Row],[ProjectName]]&amp;OutputTable[[#This Row],[Name]]&amp;OutputTable[[#This Row],[Type]]&amp;OutputTable[[#This Row],[Source]]</f>
        <v>Unnamed ProjectSystem.NumberOutNumber OutSystem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1</v>
      </c>
      <c r="K18" cm="1">
        <f t="array" ref="K18">IFERROR(AVERAGE(IF((OutputTable[GroupByKey]=OutputTable[[#This Row],[GroupByKey]]),(OutputTable[GroupByKey]=OutputTable[[#This Row],[GroupByKey]])*OutputTable[RecordedValue])),0)</f>
        <v>1912</v>
      </c>
      <c r="L18" cm="1">
        <f t="array" ref="L18">IFERROR(_xlfn.STDEV.S(IF((OutputTable[GroupByKey]=OutputTable[[#This Row],[GroupByKey]]),(OutputTable[GroupByKey]=OutputTable[[#This Row],[GroupByKey]])*OutputTable[RecordedValue])),0)</f>
        <v>0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 cm="1">
        <f t="array" ref="O18">MIN(IF((OutputTable[GroupByKey]=OutputTable[[#This Row],[GroupByKey]]),(OutputTable[GroupByKey]=OutputTable[[#This Row],[GroupByKey]])*OutputTable[RecordedValue]))</f>
        <v>1912</v>
      </c>
      <c r="P18" cm="1">
        <f t="array" ref="P18">MAX(IF((OutputTable[GroupByKey]=OutputTable[[#This Row],[GroupByKey]]),(OutputTable[GroupByKey]=OutputTable[[#This Row],[GroupByKey]])*OutputTable[RecordedValue]))</f>
        <v>1912</v>
      </c>
    </row>
  </sheetData>
  <phoneticPr fontId="2" type="noConversion"/>
  <conditionalFormatting sqref="I2:P18">
    <cfRule type="expression" dxfId="2" priority="2">
      <formula>MOD(ROW(),2)=0</formula>
    </cfRule>
  </conditionalFormatting>
  <conditionalFormatting sqref="N2:N18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3.6640625" bestFit="1" customWidth="1"/>
    <col min="12" max="12" width="28.88671875" bestFit="1" customWidth="1"/>
    <col min="13" max="13" width="29.5546875" bestFit="1" customWidth="1"/>
    <col min="14" max="14" width="16.21875" bestFit="1" customWidth="1"/>
    <col min="15" max="15" width="27.6640625" bestFit="1" customWidth="1"/>
    <col min="16" max="16" width="28.3320312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Luiz Mário Andrade</cp:lastModifiedBy>
  <cp:lastPrinted>2022-03-22T10:33:10Z</cp:lastPrinted>
  <dcterms:created xsi:type="dcterms:W3CDTF">2020-06-29T21:30:31Z</dcterms:created>
  <dcterms:modified xsi:type="dcterms:W3CDTF">2023-02-10T18:41:29Z</dcterms:modified>
</cp:coreProperties>
</file>