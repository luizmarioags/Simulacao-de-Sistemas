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ocuments/2021-2/Pesquisa Operacional para Engenharia/Arena/"/>
    </mc:Choice>
  </mc:AlternateContent>
  <xr:revisionPtr revIDLastSave="12" documentId="8_{F5015F95-E683-44CB-BA7D-FBDD96D7EADB}" xr6:coauthVersionLast="47" xr6:coauthVersionMax="47" xr10:uidLastSave="{F6BEED99-3F2E-41A8-AE04-952DBCE1EDB9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FrequencyStatsByRep!$A$1:$J$2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310" r:id="rId8"/>
    <pivotCache cacheId="316" r:id="rId9"/>
    <pivotCache cacheId="322" r:id="rId10"/>
    <pivotCache cacheId="328" r:id="rId11"/>
    <pivotCache cacheId="33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2" i="18"/>
  <c r="O2" i="18" s="1" a="1"/>
  <c r="O2" i="18" s="1"/>
  <c r="M3" i="18"/>
  <c r="S5" i="18" s="1" a="1"/>
  <c r="S5" i="18" s="1"/>
  <c r="M4" i="18"/>
  <c r="M5" i="18"/>
  <c r="M6" i="18"/>
  <c r="P6" i="18" s="1" a="1"/>
  <c r="P6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L2" i="17"/>
  <c r="L3" i="17"/>
  <c r="S2" i="17" s="1" a="1"/>
  <c r="S2" i="17" s="1"/>
  <c r="L4" i="17"/>
  <c r="O4" i="17" s="1" a="1"/>
  <c r="O4" i="17" s="1"/>
  <c r="L5" i="17"/>
  <c r="L6" i="17"/>
  <c r="L7" i="17"/>
  <c r="L8" i="17"/>
  <c r="N4" i="17" s="1" a="1"/>
  <c r="N4" i="17" s="1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V7" i="17" a="1"/>
  <c r="V7" i="17" s="1"/>
  <c r="X7" i="17" a="1"/>
  <c r="X7" i="17" s="1"/>
  <c r="G2" i="16"/>
  <c r="K3" i="20" l="1" a="1"/>
  <c r="K3" i="20" s="1"/>
  <c r="N6" i="20"/>
  <c r="P4" i="20" a="1"/>
  <c r="P4" i="20" s="1"/>
  <c r="K2" i="20" a="1"/>
  <c r="K2" i="20" s="1"/>
  <c r="P3" i="20" a="1"/>
  <c r="P3" i="20" s="1"/>
  <c r="O4" i="20" a="1"/>
  <c r="O4" i="20" s="1"/>
  <c r="K6" i="20" a="1"/>
  <c r="K6" i="20" s="1"/>
  <c r="P6" i="20" a="1"/>
  <c r="P6" i="20" s="1"/>
  <c r="P2" i="20" a="1"/>
  <c r="P2" i="20" s="1"/>
  <c r="O3" i="20" a="1"/>
  <c r="O3" i="20" s="1"/>
  <c r="O5" i="20" a="1"/>
  <c r="O5" i="20" s="1"/>
  <c r="K5" i="20" a="1"/>
  <c r="K5" i="20" s="1"/>
  <c r="L3" i="20" a="1"/>
  <c r="L3" i="20" s="1"/>
  <c r="N3" i="20" s="1"/>
  <c r="K4" i="20" a="1"/>
  <c r="K4" i="20" s="1"/>
  <c r="L5" i="20" a="1"/>
  <c r="L5" i="20" s="1"/>
  <c r="N5" i="20" s="1"/>
  <c r="P5" i="20" a="1"/>
  <c r="P5" i="20" s="1"/>
  <c r="O6" i="20" a="1"/>
  <c r="O6" i="20" s="1"/>
  <c r="O2" i="20" a="1"/>
  <c r="O2" i="20" s="1"/>
  <c r="L4" i="20" a="1"/>
  <c r="L4" i="20" s="1"/>
  <c r="N4" i="20" s="1"/>
  <c r="L6" i="20" a="1"/>
  <c r="L6" i="20" s="1"/>
  <c r="L2" i="20" a="1"/>
  <c r="L2" i="20" s="1"/>
  <c r="N2" i="20" s="1"/>
  <c r="S6" i="18" a="1"/>
  <c r="S6" i="18" s="1"/>
  <c r="P3" i="18" a="1"/>
  <c r="P3" i="18" s="1"/>
  <c r="T5" i="18" a="1"/>
  <c r="T5" i="18" s="1"/>
  <c r="P2" i="18" a="1"/>
  <c r="P2" i="18" s="1"/>
  <c r="O6" i="18" a="1"/>
  <c r="O6" i="18" s="1"/>
  <c r="O5" i="18" a="1"/>
  <c r="O5" i="18" s="1"/>
  <c r="P4" i="18" a="1"/>
  <c r="P4" i="18" s="1"/>
  <c r="O4" i="18" a="1"/>
  <c r="O4" i="18" s="1"/>
  <c r="T3" i="18" a="1"/>
  <c r="T3" i="18" s="1"/>
  <c r="O3" i="18" a="1"/>
  <c r="O3" i="18" s="1"/>
  <c r="T6" i="18" a="1"/>
  <c r="T6" i="18" s="1"/>
  <c r="T4" i="18" a="1"/>
  <c r="T4" i="18" s="1"/>
  <c r="P5" i="18" a="1"/>
  <c r="P5" i="18" s="1"/>
  <c r="R5" i="18" s="1"/>
  <c r="R6" i="18"/>
  <c r="U6" i="18"/>
  <c r="U5" i="18"/>
  <c r="U4" i="18"/>
  <c r="R4" i="18"/>
  <c r="U3" i="18"/>
  <c r="R3" i="18"/>
  <c r="R2" i="18"/>
  <c r="U2" i="18"/>
  <c r="S4" i="18" a="1"/>
  <c r="S4" i="18" s="1"/>
  <c r="T2" i="18" a="1"/>
  <c r="T2" i="18" s="1"/>
  <c r="S3" i="18" a="1"/>
  <c r="S3" i="18" s="1"/>
  <c r="S2" i="18" a="1"/>
  <c r="S2" i="18" s="1"/>
  <c r="V6" i="17" a="1"/>
  <c r="V6" i="17" s="1"/>
  <c r="X8" i="17" a="1"/>
  <c r="X8" i="17" s="1"/>
  <c r="Y8" i="17" s="1"/>
  <c r="U8" i="17" a="1"/>
  <c r="U8" i="17" s="1"/>
  <c r="O3" i="17" a="1"/>
  <c r="O3" i="17" s="1"/>
  <c r="X6" i="17" a="1"/>
  <c r="X6" i="17" s="1"/>
  <c r="N3" i="17" a="1"/>
  <c r="N3" i="17" s="1"/>
  <c r="T5" i="17" a="1"/>
  <c r="T5" i="17" s="1"/>
  <c r="U3" i="17" a="1"/>
  <c r="U3" i="17" s="1"/>
  <c r="X3" i="17" a="1"/>
  <c r="X3" i="17" s="1"/>
  <c r="V8" i="17" a="1"/>
  <c r="V8" i="17" s="1"/>
  <c r="T4" i="17" a="1"/>
  <c r="T4" i="17" s="1"/>
  <c r="S7" i="17" a="1"/>
  <c r="S7" i="17" s="1"/>
  <c r="X5" i="17" a="1"/>
  <c r="X5" i="17" s="1"/>
  <c r="U2" i="17" a="1"/>
  <c r="U2" i="17" s="1"/>
  <c r="S6" i="17" a="1"/>
  <c r="S6" i="17" s="1"/>
  <c r="O2" i="17" a="1"/>
  <c r="O2" i="17" s="1"/>
  <c r="X4" i="17" a="1"/>
  <c r="X4" i="17" s="1"/>
  <c r="V5" i="17" a="1"/>
  <c r="V5" i="17" s="1"/>
  <c r="U7" i="17" a="1"/>
  <c r="U7" i="17" s="1"/>
  <c r="T8" i="17" a="1"/>
  <c r="T8" i="17" s="1"/>
  <c r="T3" i="17" a="1"/>
  <c r="T3" i="17" s="1"/>
  <c r="R8" i="17" a="1"/>
  <c r="R8" i="17" s="1"/>
  <c r="N8" i="17" a="1"/>
  <c r="N8" i="17" s="1"/>
  <c r="N2" i="17" a="1"/>
  <c r="N2" i="17" s="1"/>
  <c r="U6" i="17" a="1"/>
  <c r="U6" i="17" s="1"/>
  <c r="S5" i="17" a="1"/>
  <c r="S5" i="17" s="1"/>
  <c r="R6" i="17" a="1"/>
  <c r="R6" i="17" s="1"/>
  <c r="O8" i="17" a="1"/>
  <c r="O8" i="17" s="1"/>
  <c r="N7" i="17" a="1"/>
  <c r="N7" i="17" s="1"/>
  <c r="R5" i="17" a="1"/>
  <c r="R5" i="17" s="1"/>
  <c r="V4" i="17" a="1"/>
  <c r="V4" i="17" s="1"/>
  <c r="U5" i="17" a="1"/>
  <c r="U5" i="17" s="1"/>
  <c r="T7" i="17" a="1"/>
  <c r="T7" i="17" s="1"/>
  <c r="T2" i="17" a="1"/>
  <c r="T2" i="17" s="1"/>
  <c r="O7" i="17" a="1"/>
  <c r="O7" i="17" s="1"/>
  <c r="N6" i="17" a="1"/>
  <c r="N6" i="17" s="1"/>
  <c r="X2" i="17" a="1"/>
  <c r="X2" i="17" s="1"/>
  <c r="Y2" i="17" s="1"/>
  <c r="Q2" i="17" s="1"/>
  <c r="V3" i="17" a="1"/>
  <c r="V3" i="17" s="1"/>
  <c r="S4" i="17" a="1"/>
  <c r="S4" i="17" s="1"/>
  <c r="O6" i="17" a="1"/>
  <c r="O6" i="17" s="1"/>
  <c r="N5" i="17" a="1"/>
  <c r="N5" i="17" s="1"/>
  <c r="R3" i="17" a="1"/>
  <c r="R3" i="17" s="1"/>
  <c r="V2" i="17" a="1"/>
  <c r="V2" i="17" s="1"/>
  <c r="U4" i="17" a="1"/>
  <c r="U4" i="17" s="1"/>
  <c r="T6" i="17" a="1"/>
  <c r="T6" i="17" s="1"/>
  <c r="S8" i="17" a="1"/>
  <c r="S8" i="17" s="1"/>
  <c r="S3" i="17" a="1"/>
  <c r="S3" i="17" s="1"/>
  <c r="O5" i="17" a="1"/>
  <c r="O5" i="17" s="1"/>
  <c r="Y3" i="17"/>
  <c r="Q3" i="17" s="1"/>
  <c r="W3" i="17"/>
  <c r="W2" i="17"/>
  <c r="Y4" i="17"/>
  <c r="Q4" i="17" s="1"/>
  <c r="W4" i="17"/>
  <c r="W8" i="17"/>
  <c r="W7" i="17"/>
  <c r="Y7" i="17"/>
  <c r="Q7" i="17" s="1"/>
  <c r="W6" i="17"/>
  <c r="Y6" i="17"/>
  <c r="Q6" i="17" s="1"/>
  <c r="Y5" i="17"/>
  <c r="Q5" i="17" s="1"/>
  <c r="W5" i="17"/>
  <c r="R2" i="17" a="1"/>
  <c r="R2" i="17" s="1"/>
  <c r="R4" i="17" a="1"/>
  <c r="R4" i="17" s="1"/>
  <c r="R7" i="17" a="1"/>
  <c r="R7" i="17" s="1"/>
  <c r="Q8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ocuments\2021-2\pesquisa operacional para engenharia\arena\modelo_filas_teste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ocuments\2021-2\pesquisa operacional para engenharia\arena\modelo_filas_teste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ocuments\2021-2\pesquisa operacional para engenharia\arena\modelo_filas_teste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ocuments\2021-2\pesquisa operacional para engenharia\arena\modelo_filas_teste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ocuments\2021-2\pesquisa operacional para engenharia\arena\modelo_filas_teste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ocuments\2021-2\pesquisa operacional para engenharia\arena\modelo_filas_teste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<sst xmlns="http://schemas.openxmlformats.org/spreadsheetml/2006/main" count="294" uniqueCount="98">
  <si>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</si>
  <si>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</si>
  <si>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</si>
  <si>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</si>
  <si>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</si>
  <si>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</si>
  <si>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</si>
  <si>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</si>
  <si>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</si>
  <si>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</si>
  <si>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</si>
  <si>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</si>
  <si>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</si>
  <si>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</si>
  <si>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</si>
  <si>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</si>
  <si>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</si>
  <si>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</si>
  <si>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</si>
  <si>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</si>
  <si>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</si>
  <si>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</si>
  <si>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</si>
  <si>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</si>
  <si>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</si>
  <si>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</si>
  <si>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</si>
  <si>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</si>
  <si>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</si>
  <si>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</si>
  <si>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</si>
  <si>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</si>
  <si>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</si>
  <si>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</si>
  <si>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</si>
  <si>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</si>
  <si>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</si>
  <si>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</si>
  <si>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</si>
  <si>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</si>
  <si>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</si>
  <si>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</si>
  <si>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</si>
  <si>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</si>
  <si>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</si>
  <si>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</si>
  <si>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</si>
  <si>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</si>
  <si>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</si>
  <si>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</si>
  <si>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</si>
  <si>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</si>
  <si>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</si>
  <si>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</si>
  <si>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</si>
  <si>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</si>
  <si>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</si>
  <si>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</si>
  <si>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</si>
  <si>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</si>
  <si>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</si>
  <si>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</si>
  <si>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</si>
  <si>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</si>
  <si>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</si>
  <si>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</si>
  <si>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</si>
  <si>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C:\Users\luizm\OneDrive\Documents\2021-2\Pesquisa Operacional para Engenharia\Arena\Modelo_Filas_Teste.p</t>
  </si>
  <si>
    <t>2022-12-15 20:22:54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</si>
  <si>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</si>
  <si>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</si>
  <si>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</si>
  <si>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</si>
  <si>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</si>
  <si>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</si>
  <si>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</si>
  <si>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</si>
  <si>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Processamento dos meus pedidos.Queue</t>
  </si>
  <si>
    <t>Waiting Time</t>
  </si>
  <si>
    <t>Queue</t>
  </si>
  <si>
    <t>Caixa</t>
  </si>
  <si>
    <t>Instantaneous Utilization</t>
  </si>
  <si>
    <t>Resource</t>
  </si>
  <si>
    <t>Number Busy</t>
  </si>
  <si>
    <t>Number Scheduled</t>
  </si>
  <si>
    <t>WIP</t>
  </si>
  <si>
    <t>Number Waiting</t>
  </si>
  <si>
    <t>Caixa.NumberSeized</t>
  </si>
  <si>
    <t>Total Number Seized</t>
  </si>
  <si>
    <t>Caixa.ScheduledUtilization</t>
  </si>
  <si>
    <t>Scheduled Utilization</t>
  </si>
  <si>
    <t>Entity 1.NumberIn</t>
  </si>
  <si>
    <t>Number In</t>
  </si>
  <si>
    <t>Entity 1.NumberOut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</si>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</sst>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0.855579745374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6">
        <s v="Caixa"/>
        <s v="Entity 1"/>
        <s v="Processamento dos meus pedido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.78900710860415102" maxValue="2.4766727892736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containsInteger="1" minValue="1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78900710860415102" maxValue="2.4766727892736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78900710860415102" maxValue="2.47667278927364"/>
    </cacheField>
    <cacheField name="MaximumAverage" numFmtId="0">
      <sharedItems containsSemiMixedTypes="0" containsString="0" containsNumber="1" minValue="0.78900710860415102" maxValue="2.47667278927364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0.85558020833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0.855580439813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Entity 1"/>
        <s v="Processamento dos meus pedido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7.8458501534769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7448502141281801"/>
    </cacheField>
    <cacheField name="Maximum" numFmtId="0">
      <sharedItems containsSemiMixedTypes="0" containsString="0" containsNumber="1" minValue="0" maxValue="224.175122119235"/>
    </cacheField>
    <cacheField name="NumberObservations" numFmtId="0">
      <sharedItems containsSemiMixedTypes="0" containsString="0" containsNumber="1" containsInteger="1" minValue="41" maxValue="42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77.84585015347690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77.845850153476903"/>
    </cacheField>
    <cacheField name="MaximumAverage" numFmtId="0">
      <sharedItems containsSemiMixedTypes="0" containsString="0" containsNumber="1" minValue="0" maxValue="77.845850153476903"/>
    </cacheField>
    <cacheField name="OverallMinimum" numFmtId="0">
      <sharedItems containsSemiMixedTypes="0" containsString="0" containsNumber="1" minValue="0" maxValue="1.7448502141281801"/>
    </cacheField>
    <cacheField name="OverallMaximum" numFmtId="0">
      <sharedItems containsSemiMixedTypes="0" containsString="0" containsNumber="1" minValue="0" maxValue="224.175122119235"/>
    </cacheField>
    <cacheField name="AverageNumberObservations" numFmtId="0">
      <sharedItems containsSemiMixedTypes="0" containsString="0" containsNumber="1" containsInteger="1" minValue="41" maxValue="42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0.855580787036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1">
        <s v="Caixa.NumberSeized"/>
        <s v="Caixa.ScheduledUtilization"/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78900710860415102" maxValue="4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8900710860415102" maxValue="4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8900710860415102" maxValue="45"/>
    </cacheField>
    <cacheField name="Maximum" numFmtId="0">
      <sharedItems containsSemiMixedTypes="0" containsString="0" containsNumber="1" minValue="0.78900710860415102" maxValue="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0.85558113425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2-12-15 20:22:54"/>
    <n v="1"/>
    <x v="0"/>
    <x v="0"/>
    <x v="0"/>
    <n v="0.78900710860415102"/>
    <n v="2E+20"/>
    <n v="0"/>
    <n v="1"/>
    <n v="1"/>
    <n v="0"/>
    <s v="Unnamed ProjectCaixaInstantaneous UtilizationResource"/>
    <n v="1"/>
    <n v="0.78900710860415102"/>
    <n v="0"/>
    <n v="0.95"/>
    <n v="4E+20"/>
    <n v="0.78900710860415102"/>
    <n v="0.78900710860415102"/>
    <n v="2E+20"/>
  </r>
  <r>
    <x v="0"/>
    <s v="2022-12-15 20:22:54"/>
    <n v="1"/>
    <x v="0"/>
    <x v="1"/>
    <x v="0"/>
    <n v="0.78900710860415102"/>
    <n v="2E+20"/>
    <n v="0"/>
    <n v="1"/>
    <n v="1"/>
    <n v="0"/>
    <s v="Unnamed ProjectCaixaNumber BusyResource"/>
    <n v="1"/>
    <n v="0.78900710860415102"/>
    <n v="0"/>
    <n v="0.95"/>
    <n v="4E+20"/>
    <n v="0.78900710860415102"/>
    <n v="0.78900710860415102"/>
    <n v="2E+20"/>
  </r>
  <r>
    <x v="0"/>
    <s v="2022-12-15 20:22:54"/>
    <n v="1"/>
    <x v="0"/>
    <x v="2"/>
    <x v="0"/>
    <n v="1"/>
    <n v="2E+20"/>
    <n v="1"/>
    <n v="1"/>
    <n v="1"/>
    <n v="0"/>
    <s v="Unnamed ProjectCaixaNumber ScheduledResource"/>
    <n v="1"/>
    <n v="1"/>
    <n v="0"/>
    <n v="0.95"/>
    <n v="4E+20"/>
    <n v="1"/>
    <n v="1"/>
    <n v="2E+20"/>
  </r>
  <r>
    <x v="0"/>
    <s v="2022-12-15 20:22:54"/>
    <n v="1"/>
    <x v="1"/>
    <x v="3"/>
    <x v="1"/>
    <n v="2.47667278927364"/>
    <n v="2E+20"/>
    <n v="0"/>
    <n v="8"/>
    <n v="4"/>
    <n v="0"/>
    <s v="Unnamed ProjectEntity 1WIPEntity"/>
    <n v="1"/>
    <n v="2.47667278927364"/>
    <n v="0"/>
    <n v="0.95"/>
    <n v="4E+20"/>
    <n v="2.47667278927364"/>
    <n v="2.47667278927364"/>
    <n v="2E+20"/>
  </r>
  <r>
    <x v="0"/>
    <s v="2022-12-15 20:22:54"/>
    <n v="1"/>
    <x v="2"/>
    <x v="4"/>
    <x v="2"/>
    <n v="1.6876656806694901"/>
    <n v="2E+20"/>
    <n v="0"/>
    <n v="7"/>
    <n v="3"/>
    <n v="0"/>
    <s v="Unnamed ProjectProcessamento dos meus pedidos.QueueNumber WaitingQueue"/>
    <n v="1"/>
    <n v="1.6876656806694901"/>
    <n v="0"/>
    <n v="0.95"/>
    <n v="4E+20"/>
    <n v="1.6876656806694901"/>
    <n v="1.687665680669490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2-12-15 20:22:54"/>
    <n v="1"/>
    <x v="0"/>
    <x v="0"/>
    <x v="0"/>
    <n v="0"/>
    <n v="2E+20"/>
    <n v="0"/>
    <n v="0"/>
    <n v="41"/>
    <s v="Unnamed ProjectEntity 1NVA TimeEntity"/>
    <n v="1"/>
    <n v="0"/>
    <n v="0"/>
    <n v="0.95"/>
    <n v="4E+20"/>
    <n v="0"/>
    <n v="0"/>
    <n v="0"/>
    <n v="0"/>
    <n v="41"/>
    <n v="2E+20"/>
    <n v="1"/>
    <n v="1"/>
  </r>
  <r>
    <x v="0"/>
    <s v="2022-12-15 20:22:54"/>
    <n v="1"/>
    <x v="0"/>
    <x v="1"/>
    <x v="0"/>
    <n v="0"/>
    <n v="2E+20"/>
    <n v="0"/>
    <n v="0"/>
    <n v="41"/>
    <s v="Unnamed ProjectEntity 1Other TimeEntity"/>
    <n v="1"/>
    <n v="0"/>
    <n v="0"/>
    <n v="0.95"/>
    <n v="4E+20"/>
    <n v="0"/>
    <n v="0"/>
    <n v="0"/>
    <n v="0"/>
    <n v="41"/>
    <n v="2E+20"/>
    <n v="1"/>
    <n v="1"/>
  </r>
  <r>
    <x v="0"/>
    <s v="2022-12-15 20:22:54"/>
    <n v="1"/>
    <x v="0"/>
    <x v="2"/>
    <x v="0"/>
    <n v="77.845850153476903"/>
    <n v="2E+20"/>
    <n v="1.7448502141281801"/>
    <n v="224.175122119235"/>
    <n v="41"/>
    <s v="Unnamed ProjectEntity 1Total TimeEntity"/>
    <n v="1"/>
    <n v="77.845850153476903"/>
    <n v="0"/>
    <n v="0.95"/>
    <n v="4E+20"/>
    <n v="77.845850153476903"/>
    <n v="77.845850153476903"/>
    <n v="1.7448502141281801"/>
    <n v="224.175122119235"/>
    <n v="41"/>
    <n v="2E+20"/>
    <n v="1"/>
    <n v="1"/>
  </r>
  <r>
    <x v="0"/>
    <s v="2022-12-15 20:22:54"/>
    <n v="1"/>
    <x v="0"/>
    <x v="3"/>
    <x v="0"/>
    <n v="0"/>
    <n v="2E+20"/>
    <n v="0"/>
    <n v="0"/>
    <n v="41"/>
    <s v="Unnamed ProjectEntity 1Transfer TimeEntity"/>
    <n v="1"/>
    <n v="0"/>
    <n v="0"/>
    <n v="0.95"/>
    <n v="4E+20"/>
    <n v="0"/>
    <n v="0"/>
    <n v="0"/>
    <n v="0"/>
    <n v="41"/>
    <n v="2E+20"/>
    <n v="1"/>
    <n v="1"/>
  </r>
  <r>
    <x v="0"/>
    <s v="2022-12-15 20:22:54"/>
    <n v="1"/>
    <x v="0"/>
    <x v="4"/>
    <x v="0"/>
    <n v="26.524780684891699"/>
    <n v="2E+20"/>
    <n v="8.3807276799689107E-2"/>
    <n v="142.49458188174401"/>
    <n v="41"/>
    <s v="Unnamed ProjectEntity 1VA TimeEntity"/>
    <n v="1"/>
    <n v="26.524780684891699"/>
    <n v="0"/>
    <n v="0.95"/>
    <n v="4E+20"/>
    <n v="26.524780684891699"/>
    <n v="26.524780684891699"/>
    <n v="8.3807276799689107E-2"/>
    <n v="142.49458188174401"/>
    <n v="41"/>
    <n v="2E+20"/>
    <n v="1"/>
    <n v="1"/>
  </r>
  <r>
    <x v="0"/>
    <s v="2022-12-15 20:22:54"/>
    <n v="1"/>
    <x v="0"/>
    <x v="5"/>
    <x v="0"/>
    <n v="51.3210694685852"/>
    <n v="2E+20"/>
    <n v="0"/>
    <n v="163.34223585352501"/>
    <n v="41"/>
    <s v="Unnamed ProjectEntity 1Wait TimeEntity"/>
    <n v="1"/>
    <n v="51.3210694685852"/>
    <n v="0"/>
    <n v="0.95"/>
    <n v="4E+20"/>
    <n v="51.3210694685852"/>
    <n v="51.3210694685852"/>
    <n v="0"/>
    <n v="163.34223585352501"/>
    <n v="41"/>
    <n v="2E+20"/>
    <n v="1"/>
    <n v="1"/>
  </r>
  <r>
    <x v="0"/>
    <s v="2022-12-15 20:22:54"/>
    <n v="1"/>
    <x v="1"/>
    <x v="6"/>
    <x v="1"/>
    <n v="52.498158733579103"/>
    <n v="2E+20"/>
    <n v="0"/>
    <n v="163.34223585352501"/>
    <n v="42"/>
    <s v="Unnamed ProjectProcessamento dos meus pedidos.QueueWaiting TimeQueue"/>
    <n v="1"/>
    <n v="52.498158733579103"/>
    <n v="0"/>
    <n v="0.95"/>
    <n v="4E+20"/>
    <n v="52.498158733579103"/>
    <n v="52.498158733579103"/>
    <n v="0"/>
    <n v="163.34223585352501"/>
    <n v="42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2-12-15 20:22:54"/>
    <n v="1"/>
    <x v="0"/>
    <x v="0"/>
    <x v="0"/>
    <n v="42"/>
    <n v="0"/>
    <s v="Unnamed ProjectCaixa.NumberSeizedTotal Number SeizedResource"/>
    <n v="1"/>
    <n v="42"/>
    <n v="0"/>
    <n v="0.95"/>
    <n v="4E+20"/>
    <n v="42"/>
    <n v="42"/>
  </r>
  <r>
    <x v="0"/>
    <s v="2022-12-15 20:22:54"/>
    <n v="1"/>
    <x v="1"/>
    <x v="1"/>
    <x v="0"/>
    <n v="0.78900710860415102"/>
    <n v="0"/>
    <s v="Unnamed ProjectCaixa.ScheduledUtilizationScheduled UtilizationResource"/>
    <n v="1"/>
    <n v="0.78900710860415102"/>
    <n v="0"/>
    <n v="0.95"/>
    <n v="4E+20"/>
    <n v="0.78900710860415102"/>
    <n v="0.78900710860415102"/>
  </r>
  <r>
    <x v="0"/>
    <s v="2022-12-15 20:22:54"/>
    <n v="1"/>
    <x v="2"/>
    <x v="2"/>
    <x v="1"/>
    <n v="45"/>
    <n v="0"/>
    <s v="Unnamed ProjectEntity 1.NumberInNumber InEntity"/>
    <n v="1"/>
    <n v="45"/>
    <n v="0"/>
    <n v="0.95"/>
    <n v="4E+20"/>
    <n v="45"/>
    <n v="45"/>
  </r>
  <r>
    <x v="0"/>
    <s v="2022-12-15 20:22:54"/>
    <n v="1"/>
    <x v="3"/>
    <x v="3"/>
    <x v="1"/>
    <n v="41"/>
    <n v="0"/>
    <s v="Unnamed ProjectEntity 1.NumberOutNumber OutEntity"/>
    <n v="1"/>
    <n v="41"/>
    <n v="0"/>
    <n v="0.95"/>
    <n v="4E+20"/>
    <n v="41"/>
    <n v="41"/>
  </r>
  <r>
    <x v="0"/>
    <s v="2022-12-15 20:22:54"/>
    <n v="1"/>
    <x v="4"/>
    <x v="3"/>
    <x v="2"/>
    <n v="41"/>
    <n v="0"/>
    <s v="Unnamed ProjectSystem.NumberOutNumber OutSystem"/>
    <n v="1"/>
    <n v="41"/>
    <n v="0"/>
    <n v="0.95"/>
    <n v="4E+20"/>
    <n v="41"/>
    <n v="4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31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1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31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32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sd="0"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32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x="2"/>
        <item x="3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33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A8" sqref="A8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</v>
      </c>
      <c r="F2">
        <v>1440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>
      <selection activeCell="B9" sqref="B9"/>
    </sheetView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41</v>
      </c>
      <c r="O3" t="s">
        <v>66</v>
      </c>
      <c r="P3" t="s">
        <v>69</v>
      </c>
      <c r="Q3" t="s">
        <v>85</v>
      </c>
      <c r="R3" t="s">
        <v>71</v>
      </c>
      <c r="S3" s="5">
        <v>2.47667278927364</v>
      </c>
      <c r="T3" s="5">
        <v>2E+20</v>
      </c>
      <c r="U3" s="5">
        <v>0</v>
      </c>
      <c r="V3" s="5">
        <v>2.47667278927364</v>
      </c>
      <c r="W3" s="5">
        <v>2.47667278927364</v>
      </c>
      <c r="X3" s="5">
        <v>0</v>
      </c>
      <c r="Y3" s="5">
        <v>8</v>
      </c>
      <c r="AA3" t="s">
        <v>97</v>
      </c>
      <c r="AB3" t="s">
        <v>97</v>
      </c>
      <c r="AC3" t="s">
        <v>97</v>
      </c>
      <c r="AD3" t="s">
        <v>97</v>
      </c>
      <c r="AE3" s="5"/>
      <c r="AF3" s="5"/>
      <c r="AG3" s="5"/>
      <c r="AH3" s="5"/>
      <c r="AI3" s="5"/>
      <c r="AK3" t="s">
        <v>66</v>
      </c>
      <c r="AL3" t="s">
        <v>95</v>
      </c>
      <c r="AM3" t="s">
        <v>94</v>
      </c>
      <c r="AN3" t="s">
        <v>96</v>
      </c>
      <c r="AO3" s="5">
        <v>41</v>
      </c>
      <c r="AP3" s="5">
        <v>4E+20</v>
      </c>
      <c r="AQ3" s="5">
        <v>0</v>
      </c>
      <c r="AR3" s="5">
        <v>41</v>
      </c>
      <c r="AS3" s="5">
        <v>41</v>
      </c>
      <c r="AU3" t="s">
        <v>97</v>
      </c>
      <c r="AV3" t="s">
        <v>97</v>
      </c>
      <c r="AW3" t="s">
        <v>97</v>
      </c>
      <c r="AX3" t="s">
        <v>97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41</v>
      </c>
      <c r="P4" t="s">
        <v>80</v>
      </c>
      <c r="Q4" t="s">
        <v>81</v>
      </c>
      <c r="R4" t="s">
        <v>82</v>
      </c>
      <c r="S4" s="5">
        <v>0.78900710860415102</v>
      </c>
      <c r="T4" s="5">
        <v>2E+20</v>
      </c>
      <c r="U4" s="5">
        <v>0</v>
      </c>
      <c r="V4" s="5">
        <v>0.78900710860415102</v>
      </c>
      <c r="W4" s="5">
        <v>0.78900710860415102</v>
      </c>
      <c r="X4" s="5">
        <v>0</v>
      </c>
      <c r="Y4" s="5">
        <v>1</v>
      </c>
      <c r="AL4" t="s">
        <v>91</v>
      </c>
      <c r="AM4" t="s">
        <v>92</v>
      </c>
      <c r="AN4" t="s">
        <v>71</v>
      </c>
      <c r="AO4" s="5">
        <v>45</v>
      </c>
      <c r="AP4" s="5">
        <v>4E+20</v>
      </c>
      <c r="AQ4" s="5">
        <v>0</v>
      </c>
      <c r="AR4" s="5">
        <v>45</v>
      </c>
      <c r="AS4" s="5">
        <v>45</v>
      </c>
    </row>
    <row r="5" spans="1:52" x14ac:dyDescent="0.3">
      <c r="C5" t="s">
        <v>73</v>
      </c>
      <c r="D5" t="s">
        <v>71</v>
      </c>
      <c r="E5" s="5">
        <v>77.845850153476903</v>
      </c>
      <c r="F5" s="5">
        <v>1</v>
      </c>
      <c r="G5" s="5">
        <v>2E+20</v>
      </c>
      <c r="H5" s="5">
        <v>0</v>
      </c>
      <c r="I5" s="5">
        <v>77.845850153476903</v>
      </c>
      <c r="J5" s="5">
        <v>77.845850153476903</v>
      </c>
      <c r="K5" s="5">
        <v>1.7448502141281801</v>
      </c>
      <c r="L5" s="5">
        <v>224.175122119235</v>
      </c>
      <c r="M5" s="5">
        <v>41</v>
      </c>
      <c r="Q5" t="s">
        <v>83</v>
      </c>
      <c r="R5" t="s">
        <v>82</v>
      </c>
      <c r="S5" s="5">
        <v>0.78900710860415102</v>
      </c>
      <c r="T5" s="5">
        <v>2E+20</v>
      </c>
      <c r="U5" s="5">
        <v>0</v>
      </c>
      <c r="V5" s="5">
        <v>0.78900710860415102</v>
      </c>
      <c r="W5" s="5">
        <v>0.78900710860415102</v>
      </c>
      <c r="X5" s="5">
        <v>0</v>
      </c>
      <c r="Y5" s="5">
        <v>1</v>
      </c>
      <c r="AL5" t="s">
        <v>93</v>
      </c>
      <c r="AM5" t="s">
        <v>94</v>
      </c>
      <c r="AN5" t="s">
        <v>71</v>
      </c>
      <c r="AO5" s="5">
        <v>41</v>
      </c>
      <c r="AP5" s="5">
        <v>4E+20</v>
      </c>
      <c r="AQ5" s="5">
        <v>0</v>
      </c>
      <c r="AR5" s="5">
        <v>41</v>
      </c>
      <c r="AS5" s="5">
        <v>41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41</v>
      </c>
      <c r="Q6" t="s">
        <v>84</v>
      </c>
      <c r="R6" t="s">
        <v>82</v>
      </c>
      <c r="S6" s="5">
        <v>1</v>
      </c>
      <c r="T6" s="5">
        <v>2E+20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87</v>
      </c>
      <c r="AM6" t="s">
        <v>88</v>
      </c>
      <c r="AN6" t="s">
        <v>82</v>
      </c>
      <c r="AO6" s="5">
        <v>42</v>
      </c>
      <c r="AP6" s="5">
        <v>4E+20</v>
      </c>
      <c r="AQ6" s="5">
        <v>0</v>
      </c>
      <c r="AR6" s="5">
        <v>42</v>
      </c>
      <c r="AS6" s="5">
        <v>42</v>
      </c>
    </row>
    <row r="7" spans="1:52" x14ac:dyDescent="0.3">
      <c r="C7" t="s">
        <v>75</v>
      </c>
      <c r="D7" t="s">
        <v>71</v>
      </c>
      <c r="E7" s="5">
        <v>26.524780684891699</v>
      </c>
      <c r="F7" s="5">
        <v>1</v>
      </c>
      <c r="G7" s="5">
        <v>2E+20</v>
      </c>
      <c r="H7" s="5">
        <v>0</v>
      </c>
      <c r="I7" s="5">
        <v>26.524780684891699</v>
      </c>
      <c r="J7" s="5">
        <v>26.524780684891699</v>
      </c>
      <c r="K7" s="5">
        <v>8.3807276799689107E-2</v>
      </c>
      <c r="L7" s="5">
        <v>142.49458188174401</v>
      </c>
      <c r="M7" s="5">
        <v>41</v>
      </c>
      <c r="P7" t="s">
        <v>77</v>
      </c>
      <c r="Q7" t="s">
        <v>86</v>
      </c>
      <c r="R7" t="s">
        <v>79</v>
      </c>
      <c r="S7" s="5">
        <v>1.6876656806694901</v>
      </c>
      <c r="T7" s="5">
        <v>2E+20</v>
      </c>
      <c r="U7" s="5">
        <v>0</v>
      </c>
      <c r="V7" s="5">
        <v>1.6876656806694901</v>
      </c>
      <c r="W7" s="5">
        <v>1.6876656806694901</v>
      </c>
      <c r="X7" s="5">
        <v>0</v>
      </c>
      <c r="Y7" s="5">
        <v>7</v>
      </c>
      <c r="AL7" t="s">
        <v>89</v>
      </c>
      <c r="AM7" t="s">
        <v>90</v>
      </c>
      <c r="AN7" t="s">
        <v>82</v>
      </c>
      <c r="AO7" s="5">
        <v>0.78900710860415102</v>
      </c>
      <c r="AP7" s="5">
        <v>4E+20</v>
      </c>
      <c r="AQ7" s="5">
        <v>0</v>
      </c>
      <c r="AR7" s="5">
        <v>0.78900710860415102</v>
      </c>
      <c r="AS7" s="5">
        <v>0.78900710860415102</v>
      </c>
    </row>
    <row r="8" spans="1:52" x14ac:dyDescent="0.3">
      <c r="C8" t="s">
        <v>76</v>
      </c>
      <c r="D8" t="s">
        <v>71</v>
      </c>
      <c r="E8" s="5">
        <v>51.3210694685852</v>
      </c>
      <c r="F8" s="5">
        <v>1</v>
      </c>
      <c r="G8" s="5">
        <v>2E+20</v>
      </c>
      <c r="H8" s="5">
        <v>0</v>
      </c>
      <c r="I8" s="5">
        <v>51.3210694685852</v>
      </c>
      <c r="J8" s="5">
        <v>51.3210694685852</v>
      </c>
      <c r="K8" s="5">
        <v>0</v>
      </c>
      <c r="L8" s="5">
        <v>163.34223585352501</v>
      </c>
      <c r="M8" s="5">
        <v>41</v>
      </c>
    </row>
    <row r="9" spans="1:52" x14ac:dyDescent="0.3">
      <c r="B9" t="s">
        <v>77</v>
      </c>
      <c r="E9" s="5">
        <v>52.498158733579103</v>
      </c>
      <c r="F9" s="5">
        <v>1</v>
      </c>
      <c r="G9" s="5">
        <v>2E+20</v>
      </c>
      <c r="H9" s="5">
        <v>0</v>
      </c>
      <c r="I9" s="5">
        <v>52.498158733579103</v>
      </c>
      <c r="J9" s="5">
        <v>52.498158733579103</v>
      </c>
      <c r="K9" s="5">
        <v>0</v>
      </c>
      <c r="L9" s="5">
        <v>163.34223585352501</v>
      </c>
      <c r="M9" s="5">
        <v>42</v>
      </c>
    </row>
  </sheetData>
  <dataConsolidate/>
  <conditionalFormatting pivot="1" sqref="G3:G9">
    <cfRule type="expression" dxfId="29" priority="10">
      <formula>G3=200000000000000000000</formula>
    </cfRule>
  </conditionalFormatting>
  <conditionalFormatting pivot="1" sqref="T3:T7">
    <cfRule type="expression" dxfId="28" priority="9">
      <formula>T3=200000000000000000000</formula>
    </cfRule>
  </conditionalFormatting>
  <conditionalFormatting pivot="1" sqref="T3:T7">
    <cfRule type="expression" dxfId="27" priority="8">
      <formula>T3=300000000000000000000</formula>
    </cfRule>
  </conditionalFormatting>
  <conditionalFormatting pivot="1" sqref="G3:G9">
    <cfRule type="expression" dxfId="26" priority="7">
      <formula>G3=300000000000000000000</formula>
    </cfRule>
  </conditionalFormatting>
  <conditionalFormatting pivot="1" sqref="F3:F9">
    <cfRule type="expression" dxfId="25" priority="6">
      <formula>F3=0</formula>
    </cfRule>
  </conditionalFormatting>
  <conditionalFormatting pivot="1" sqref="F3:F9">
    <cfRule type="expression" dxfId="24" priority="5">
      <formula>F3=1</formula>
    </cfRule>
  </conditionalFormatting>
  <conditionalFormatting pivot="1" sqref="T3:T7">
    <cfRule type="expression" dxfId="23" priority="4">
      <formula>T3=400000000000000000000</formula>
    </cfRule>
  </conditionalFormatting>
  <conditionalFormatting pivot="1" sqref="AP3:AP7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9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topLeftCell="BP1" workbookViewId="0">
      <selection activeCell="CL16" sqref="CL16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65.88671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41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41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41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41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77.845850153476903</v>
      </c>
      <c r="H4">
        <v>2E+20</v>
      </c>
      <c r="I4">
        <v>1.7448502141281801</v>
      </c>
      <c r="J4">
        <v>224.175122119235</v>
      </c>
      <c r="K4">
        <v>41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77.845850153476903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77.845850153476903</v>
      </c>
      <c r="S4" cm="1">
        <f t="array" ref="S4">MAX(IF((DiscreteStatsTable[GroupByKey]=DiscreteStatsTable[[#This Row],[GroupByKey]]),(DiscreteStatsTable[GroupByKey]=DiscreteStatsTable[[#This Row],[GroupByKey]])*DiscreteStatsTable[Average]))</f>
        <v>77.845850153476903</v>
      </c>
      <c r="T4" cm="1">
        <f t="array" ref="T4">MIN(IF((DiscreteStatsTable[GroupByKey]=DiscreteStatsTable[[#This Row],[GroupByKey]]),(DiscreteStatsTable[GroupByKey]=DiscreteStatsTable[[#This Row],[GroupByKey]])*DiscreteStatsTable[Minimum]))</f>
        <v>1.7448502141281801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224.175122119235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41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41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41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26.524780684891699</v>
      </c>
      <c r="H6">
        <v>2E+20</v>
      </c>
      <c r="I6">
        <v>8.3807276799689107E-2</v>
      </c>
      <c r="J6">
        <v>142.49458188174401</v>
      </c>
      <c r="K6">
        <v>41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26.524780684891699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26.524780684891699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26.524780684891699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8.3807276799689107E-2</v>
      </c>
      <c r="U6" cm="1">
        <f t="array" ref="U6">MAX(IF((DiscreteStatsTable[GroupByKey]=DiscreteStatsTable[[#This Row],[GroupByKey]]),(DiscreteStatsTable[GroupByKey]=DiscreteStatsTable[[#This Row],[GroupByKey]])*DiscreteStatsTable[Maximum]))</f>
        <v>142.49458188174401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41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51.3210694685852</v>
      </c>
      <c r="H7">
        <v>2E+20</v>
      </c>
      <c r="I7">
        <v>0</v>
      </c>
      <c r="J7">
        <v>163.34223585352501</v>
      </c>
      <c r="K7">
        <v>41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51.3210694685852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51.3210694685852</v>
      </c>
      <c r="S7" cm="1">
        <f t="array" ref="S7">MAX(IF((DiscreteStatsTable[GroupByKey]=DiscreteStatsTable[[#This Row],[GroupByKey]]),(DiscreteStatsTable[GroupByKey]=DiscreteStatsTable[[#This Row],[GroupByKey]])*DiscreteStatsTable[Average]))</f>
        <v>51.3210694685852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163.34223585352501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41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1</v>
      </c>
      <c r="D8" t="s">
        <v>77</v>
      </c>
      <c r="E8" t="s">
        <v>78</v>
      </c>
      <c r="F8" t="s">
        <v>79</v>
      </c>
      <c r="G8">
        <v>52.498158733579103</v>
      </c>
      <c r="H8">
        <v>2E+20</v>
      </c>
      <c r="I8">
        <v>0</v>
      </c>
      <c r="J8">
        <v>163.34223585352501</v>
      </c>
      <c r="K8">
        <v>42</v>
      </c>
      <c r="L8" t="str">
        <f>DiscreteStatsTable[[#This Row],[ProjectName]]&amp;DiscreteStatsTable[[#This Row],[Name]]&amp;DiscreteStatsTable[[#This Row],[Type]]&amp;DiscreteStatsTable[[#This Row],[Source]]</f>
        <v>Unnamed ProjectProcessamento dos meus pedidos.QueueWaiting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52.498158733579103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52.498158733579103</v>
      </c>
      <c r="S8" cm="1">
        <f t="array" ref="S8">MAX(IF((DiscreteStatsTable[GroupByKey]=DiscreteStatsTable[[#This Row],[GroupByKey]]),(DiscreteStatsTable[GroupByKey]=DiscreteStatsTable[[#This Row],[GroupByKey]])*DiscreteStatsTable[Average]))</f>
        <v>52.498158733579103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163.34223585352501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42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19" priority="23">
      <formula>H2=200000000000000000000</formula>
    </cfRule>
  </conditionalFormatting>
  <conditionalFormatting sqref="H2:H8">
    <cfRule type="expression" dxfId="18" priority="21">
      <formula>H2=300000000000000000000</formula>
    </cfRule>
  </conditionalFormatting>
  <conditionalFormatting sqref="L2:Y8">
    <cfRule type="expression" dxfId="17" priority="19">
      <formula>MOD(ROW(),2)=0</formula>
    </cfRule>
  </conditionalFormatting>
  <conditionalFormatting sqref="Y2:Y8">
    <cfRule type="expression" dxfId="16" priority="14">
      <formula>Y2=0</formula>
    </cfRule>
    <cfRule type="expression" dxfId="15" priority="16">
      <formula>Y2=1</formula>
    </cfRule>
  </conditionalFormatting>
  <conditionalFormatting sqref="Y3:Y8">
    <cfRule type="expression" dxfId="14" priority="15">
      <formula>Y3=1</formula>
    </cfRule>
  </conditionalFormatting>
  <conditionalFormatting sqref="W2:W8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8 W2:W8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G11" sqref="G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68.5546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80</v>
      </c>
      <c r="E2" t="s">
        <v>81</v>
      </c>
      <c r="F2" t="s">
        <v>82</v>
      </c>
      <c r="G2">
        <v>0.78900710860415102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ProjectCaixaInstantaneous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0.78900710860415102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0.78900710860415102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0.78900710860415102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68</v>
      </c>
      <c r="C3">
        <v>1</v>
      </c>
      <c r="D3" t="s">
        <v>80</v>
      </c>
      <c r="E3" t="s">
        <v>83</v>
      </c>
      <c r="F3" t="s">
        <v>82</v>
      </c>
      <c r="G3">
        <v>0.78900710860415102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ProjectCaixaNumber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0.78900710860415102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0.78900710860415102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0.78900710860415102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68</v>
      </c>
      <c r="C4">
        <v>1</v>
      </c>
      <c r="D4" t="s">
        <v>80</v>
      </c>
      <c r="E4" t="s">
        <v>84</v>
      </c>
      <c r="F4" t="s">
        <v>82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ProjectCaixaNumber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68</v>
      </c>
      <c r="C5">
        <v>1</v>
      </c>
      <c r="D5" t="s">
        <v>69</v>
      </c>
      <c r="E5" t="s">
        <v>85</v>
      </c>
      <c r="F5" t="s">
        <v>71</v>
      </c>
      <c r="G5">
        <v>2.47667278927364</v>
      </c>
      <c r="H5">
        <v>2E+20</v>
      </c>
      <c r="I5">
        <v>0</v>
      </c>
      <c r="J5">
        <v>8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2.47667278927364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2.47667278927364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2.47667278927364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1.6876656806694901</v>
      </c>
      <c r="H6">
        <v>2E+20</v>
      </c>
      <c r="I6">
        <v>0</v>
      </c>
      <c r="J6">
        <v>7</v>
      </c>
      <c r="K6">
        <v>3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ProjectProcessamento dos meus pedidos.QueueNumber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1.6876656806694901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1.6876656806694901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1.6876656806694901</v>
      </c>
      <c r="U6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10" priority="9">
      <formula>H2=200000000000000000000</formula>
    </cfRule>
  </conditionalFormatting>
  <conditionalFormatting sqref="H2:H6">
    <cfRule type="expression" dxfId="9" priority="7">
      <formula>H2=300000000000000000000</formula>
    </cfRule>
  </conditionalFormatting>
  <conditionalFormatting sqref="M2:U6">
    <cfRule type="expression" dxfId="8" priority="5">
      <formula>MOD(ROW(),2)=0</formula>
    </cfRule>
  </conditionalFormatting>
  <conditionalFormatting sqref="U2:U6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6 U2:U6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C3" sqref="C3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2.88671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2.664062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82</v>
      </c>
      <c r="G2">
        <v>42</v>
      </c>
      <c r="H2">
        <v>0</v>
      </c>
      <c r="I2" t="str">
        <f>OutputTable[[#This Row],[ProjectName]]&amp;OutputTable[[#This Row],[Name]]&amp;OutputTable[[#This Row],[Type]]&amp;OutputTable[[#This Row],[Source]]</f>
        <v>Unnamed ProjectCaixa.NumberSeizedTotal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42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42</v>
      </c>
      <c r="P2" cm="1">
        <f t="array" ref="P2">MAX(IF((OutputTable[GroupByKey]=OutputTable[[#This Row],[GroupByKey]]),(OutputTable[GroupByKey]=OutputTable[[#This Row],[GroupByKey]])*OutputTable[RecordedValue]))</f>
        <v>42</v>
      </c>
    </row>
    <row r="3" spans="1:16" x14ac:dyDescent="0.3">
      <c r="A3" t="s">
        <v>66</v>
      </c>
      <c r="B3" t="s">
        <v>68</v>
      </c>
      <c r="C3">
        <v>1</v>
      </c>
      <c r="D3" t="s">
        <v>89</v>
      </c>
      <c r="E3" t="s">
        <v>90</v>
      </c>
      <c r="F3" t="s">
        <v>82</v>
      </c>
      <c r="G3">
        <v>0.78900710860415102</v>
      </c>
      <c r="H3">
        <v>0</v>
      </c>
      <c r="I3" t="str">
        <f>OutputTable[[#This Row],[ProjectName]]&amp;OutputTable[[#This Row],[Name]]&amp;OutputTable[[#This Row],[Type]]&amp;OutputTable[[#This Row],[Source]]</f>
        <v>Unnamed ProjectCaixa.ScheduledUtilizationScheduled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0.78900710860415102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0.78900710860415102</v>
      </c>
      <c r="P3" cm="1">
        <f t="array" ref="P3">MAX(IF((OutputTable[GroupByKey]=OutputTable[[#This Row],[GroupByKey]]),(OutputTable[GroupByKey]=OutputTable[[#This Row],[GroupByKey]])*OutputTable[RecordedValue]))</f>
        <v>0.78900710860415102</v>
      </c>
    </row>
    <row r="4" spans="1:16" x14ac:dyDescent="0.3">
      <c r="A4" t="s">
        <v>66</v>
      </c>
      <c r="B4" t="s">
        <v>68</v>
      </c>
      <c r="C4">
        <v>1</v>
      </c>
      <c r="D4" t="s">
        <v>91</v>
      </c>
      <c r="E4" t="s">
        <v>92</v>
      </c>
      <c r="F4" t="s">
        <v>71</v>
      </c>
      <c r="G4">
        <v>45</v>
      </c>
      <c r="H4">
        <v>0</v>
      </c>
      <c r="I4" t="str">
        <f>OutputTable[[#This Row],[ProjectName]]&amp;OutputTable[[#This Row],[Name]]&amp;OutputTable[[#This Row],[Type]]&amp;OutputTable[[#This Row],[Source]]</f>
        <v>Unnamed ProjectEntity 1.NumberInNumber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45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45</v>
      </c>
      <c r="P4" cm="1">
        <f t="array" ref="P4">MAX(IF((OutputTable[GroupByKey]=OutputTable[[#This Row],[GroupByKey]]),(OutputTable[GroupByKey]=OutputTable[[#This Row],[GroupByKey]])*OutputTable[RecordedValue]))</f>
        <v>45</v>
      </c>
    </row>
    <row r="5" spans="1:16" x14ac:dyDescent="0.3">
      <c r="A5" t="s">
        <v>66</v>
      </c>
      <c r="B5" t="s">
        <v>68</v>
      </c>
      <c r="C5">
        <v>1</v>
      </c>
      <c r="D5" t="s">
        <v>93</v>
      </c>
      <c r="E5" t="s">
        <v>94</v>
      </c>
      <c r="F5" t="s">
        <v>71</v>
      </c>
      <c r="G5">
        <v>41</v>
      </c>
      <c r="H5">
        <v>0</v>
      </c>
      <c r="I5" t="str">
        <f>OutputTable[[#This Row],[ProjectName]]&amp;OutputTable[[#This Row],[Name]]&amp;OutputTable[[#This Row],[Type]]&amp;OutputTable[[#This Row],[Source]]</f>
        <v>Unnamed ProjectEntity 1.NumberOutNumber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41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41</v>
      </c>
      <c r="P5" cm="1">
        <f t="array" ref="P5">MAX(IF((OutputTable[GroupByKey]=OutputTable[[#This Row],[GroupByKey]]),(OutputTable[GroupByKey]=OutputTable[[#This Row],[GroupByKey]])*OutputTable[RecordedValue]))</f>
        <v>41</v>
      </c>
    </row>
    <row r="6" spans="1:16" x14ac:dyDescent="0.3">
      <c r="A6" t="s">
        <v>66</v>
      </c>
      <c r="B6" t="s">
        <v>68</v>
      </c>
      <c r="C6">
        <v>1</v>
      </c>
      <c r="D6" t="s">
        <v>95</v>
      </c>
      <c r="E6" t="s">
        <v>94</v>
      </c>
      <c r="F6" t="s">
        <v>96</v>
      </c>
      <c r="G6">
        <v>41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41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41</v>
      </c>
      <c r="P6" cm="1">
        <f t="array" ref="P6">MAX(IF((OutputTable[GroupByKey]=OutputTable[[#This Row],[GroupByKey]]),(OutputTable[GroupByKey]=OutputTable[[#This Row],[GroupByKey]])*OutputTable[RecordedValue]))</f>
        <v>41</v>
      </c>
    </row>
  </sheetData>
  <phoneticPr fontId="2" type="noConversion"/>
  <conditionalFormatting sqref="I2:P6">
    <cfRule type="expression" dxfId="2" priority="2">
      <formula>MOD(ROW(),2)=0</formula>
    </cfRule>
  </conditionalFormatting>
  <conditionalFormatting sqref="N2:N6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H27" sqref="H27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2022-12-15T23:32:02Z</dcterms:modified>
</cp:coreProperties>
</file>