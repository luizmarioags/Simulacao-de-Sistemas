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a2dfc1885a742a/Documents/2021-2/Pesquisa Operacional para Engenharia/Arena/"/>
    </mc:Choice>
  </mc:AlternateContent>
  <xr:revisionPtr revIDLastSave="2" documentId="8_{F5015F95-E683-44CB-BA7D-FBDD96D7EADB}" xr6:coauthVersionLast="47" xr6:coauthVersionMax="47" xr10:uidLastSave="{1D73227C-D6F7-402A-AE6F-585C9CD538FA}"/>
  <bookViews>
    <workbookView xWindow="-108" yWindow="-108" windowWidth="23256" windowHeight="124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ContinuousTimeStatsByRep!$A$1:$L$131</definedName>
    <definedName name="ExternalData_1" localSheetId="4" hidden="1">CounterStatsByRep!$A$1:$G$2</definedName>
    <definedName name="ExternalData_1" localSheetId="2" hidden="1">DiscreteTimeStatsByRep!$A$1:$K$121</definedName>
    <definedName name="ExternalData_1" localSheetId="6" hidden="1">FrequencyStatsByRep!$A$1:$J$2</definedName>
    <definedName name="ExternalData_1" localSheetId="5" hidden="1">OutputStatsByRep!$A$1:$H$71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K2" i="20" s="1" a="1"/>
  <c r="K2" i="20" s="1"/>
  <c r="I10" i="20"/>
  <c r="I11" i="20"/>
  <c r="I12" i="20"/>
  <c r="I13" i="20"/>
  <c r="I14" i="20"/>
  <c r="I15" i="20"/>
  <c r="I16" i="20"/>
  <c r="I17" i="20"/>
  <c r="L17" i="20" s="1" a="1"/>
  <c r="L17" i="20" s="1"/>
  <c r="I18" i="20"/>
  <c r="I19" i="20"/>
  <c r="I20" i="20"/>
  <c r="I21" i="20"/>
  <c r="I22" i="20"/>
  <c r="I23" i="20"/>
  <c r="I24" i="20"/>
  <c r="I25" i="20"/>
  <c r="K25" i="20" s="1" a="1"/>
  <c r="K25" i="20" s="1"/>
  <c r="I26" i="20"/>
  <c r="I27" i="20"/>
  <c r="I28" i="20"/>
  <c r="I29" i="20"/>
  <c r="I30" i="20"/>
  <c r="I31" i="20"/>
  <c r="I32" i="20"/>
  <c r="I33" i="20"/>
  <c r="K33" i="20" s="1" a="1"/>
  <c r="K33" i="20" s="1"/>
  <c r="I34" i="20"/>
  <c r="I35" i="20"/>
  <c r="I36" i="20"/>
  <c r="I37" i="20"/>
  <c r="I38" i="20"/>
  <c r="I39" i="20"/>
  <c r="I40" i="20"/>
  <c r="I41" i="20"/>
  <c r="O41" i="20" s="1" a="1"/>
  <c r="O41" i="20" s="1"/>
  <c r="I42" i="20"/>
  <c r="I43" i="20"/>
  <c r="I44" i="20"/>
  <c r="I45" i="20"/>
  <c r="I46" i="20"/>
  <c r="I47" i="20"/>
  <c r="I48" i="20"/>
  <c r="I49" i="20"/>
  <c r="O49" i="20" s="1" a="1"/>
  <c r="O49" i="20" s="1"/>
  <c r="I50" i="20"/>
  <c r="I51" i="20"/>
  <c r="I52" i="20"/>
  <c r="I53" i="20"/>
  <c r="I54" i="20"/>
  <c r="I55" i="20"/>
  <c r="I56" i="20"/>
  <c r="I57" i="20"/>
  <c r="O57" i="20" s="1" a="1"/>
  <c r="O57" i="20" s="1"/>
  <c r="I58" i="20"/>
  <c r="I59" i="20"/>
  <c r="I60" i="20"/>
  <c r="I61" i="20"/>
  <c r="I62" i="20"/>
  <c r="I63" i="20"/>
  <c r="I64" i="20"/>
  <c r="I65" i="20"/>
  <c r="O65" i="20" s="1" a="1"/>
  <c r="O65" i="20" s="1"/>
  <c r="I66" i="20"/>
  <c r="I67" i="20"/>
  <c r="I68" i="20"/>
  <c r="I69" i="20"/>
  <c r="I70" i="20"/>
  <c r="I71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/>
  <c r="N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/>
  <c r="J27" i="20" a="1"/>
  <c r="J27" i="20" s="1"/>
  <c r="J28" i="20" a="1"/>
  <c r="J28" i="20" s="1"/>
  <c r="J29" i="20" a="1"/>
  <c r="J29" i="20" s="1"/>
  <c r="J30" i="20" a="1"/>
  <c r="J30" i="20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K9" i="20" a="1"/>
  <c r="K9" i="20" s="1"/>
  <c r="K17" i="20" a="1"/>
  <c r="K17" i="20" s="1"/>
  <c r="K24" i="20" a="1"/>
  <c r="K24" i="20" s="1"/>
  <c r="K31" i="20" a="1"/>
  <c r="K31" i="20" s="1"/>
  <c r="K38" i="20" a="1"/>
  <c r="K38" i="20" s="1"/>
  <c r="K46" i="20" a="1"/>
  <c r="K46" i="20" s="1"/>
  <c r="K53" i="20" a="1"/>
  <c r="K53" i="20" s="1"/>
  <c r="K68" i="20" a="1"/>
  <c r="K68" i="20" s="1"/>
  <c r="L6" i="20" a="1"/>
  <c r="L6" i="20" s="1"/>
  <c r="L14" i="20" a="1"/>
  <c r="L14" i="20" s="1"/>
  <c r="L21" i="20" a="1"/>
  <c r="L21" i="20" s="1"/>
  <c r="L28" i="20" a="1"/>
  <c r="L28" i="20" s="1"/>
  <c r="L36" i="20" a="1"/>
  <c r="L36" i="20" s="1"/>
  <c r="L44" i="20" a="1"/>
  <c r="L44" i="20" s="1"/>
  <c r="L51" i="20" a="1"/>
  <c r="L51" i="20" s="1"/>
  <c r="L58" i="20" a="1"/>
  <c r="L58" i="20" s="1"/>
  <c r="L66" i="20" a="1"/>
  <c r="L6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N51" i="20" s="1"/>
  <c r="M52" i="20" a="1"/>
  <c r="M52" i="20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O6" i="20" a="1"/>
  <c r="O6" i="20" s="1"/>
  <c r="O14" i="20" a="1"/>
  <c r="O14" i="20" s="1"/>
  <c r="O20" i="20" a="1"/>
  <c r="O20" i="20" s="1"/>
  <c r="O27" i="20" a="1"/>
  <c r="O27" i="20" s="1"/>
  <c r="O34" i="20" a="1"/>
  <c r="O34" i="20" s="1"/>
  <c r="O40" i="20" a="1"/>
  <c r="O40" i="20" s="1"/>
  <c r="O47" i="20" a="1"/>
  <c r="O47" i="20" s="1"/>
  <c r="O55" i="20" a="1"/>
  <c r="O55" i="20" s="1"/>
  <c r="O63" i="20" a="1"/>
  <c r="O63" i="20" s="1"/>
  <c r="O71" i="20" a="1"/>
  <c r="O71" i="20" s="1"/>
  <c r="P9" i="20" a="1"/>
  <c r="P9" i="20" s="1"/>
  <c r="P17" i="20" a="1"/>
  <c r="P17" i="20" s="1"/>
  <c r="P25" i="20" a="1"/>
  <c r="P25" i="20" s="1"/>
  <c r="P33" i="20" a="1"/>
  <c r="P33" i="20" s="1"/>
  <c r="P41" i="20" a="1"/>
  <c r="P41" i="20" s="1"/>
  <c r="P49" i="20" a="1"/>
  <c r="P49" i="20" s="1"/>
  <c r="P57" i="20" a="1"/>
  <c r="P57" i="20" s="1"/>
  <c r="P65" i="20" a="1"/>
  <c r="P65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O96" i="18" s="1" a="1"/>
  <c r="O96" i="18" s="1"/>
  <c r="M58" i="18"/>
  <c r="M59" i="18"/>
  <c r="M60" i="18"/>
  <c r="M61" i="18"/>
  <c r="M62" i="18"/>
  <c r="M63" i="18"/>
  <c r="M64" i="18"/>
  <c r="M65" i="18"/>
  <c r="O65" i="18" s="1" a="1"/>
  <c r="O65" i="18" s="1"/>
  <c r="M66" i="18"/>
  <c r="M67" i="18"/>
  <c r="M68" i="18"/>
  <c r="M69" i="18"/>
  <c r="M70" i="18"/>
  <c r="M71" i="18"/>
  <c r="M72" i="18"/>
  <c r="M73" i="18"/>
  <c r="O73" i="18" s="1" a="1"/>
  <c r="O73" i="18" s="1"/>
  <c r="M74" i="18"/>
  <c r="M75" i="18"/>
  <c r="M76" i="18"/>
  <c r="M77" i="18"/>
  <c r="M78" i="18"/>
  <c r="M79" i="18"/>
  <c r="M80" i="18"/>
  <c r="M81" i="18"/>
  <c r="O81" i="18" s="1" a="1"/>
  <c r="O81" i="18" s="1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O102" i="18" s="1" a="1"/>
  <c r="O102" i="18" s="1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O121" i="18" s="1" a="1"/>
  <c r="O121" i="18" s="1"/>
  <c r="M122" i="18"/>
  <c r="M123" i="18"/>
  <c r="M124" i="18"/>
  <c r="M125" i="18"/>
  <c r="M126" i="18"/>
  <c r="M127" i="18"/>
  <c r="M128" i="18"/>
  <c r="M129" i="18"/>
  <c r="M130" i="18"/>
  <c r="M131" i="18"/>
  <c r="N2" i="18" a="1"/>
  <c r="N2" i="18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O14" i="18" a="1"/>
  <c r="O14" i="18" s="1"/>
  <c r="O38" i="18" a="1"/>
  <c r="O38" i="18" s="1"/>
  <c r="O47" i="18" a="1"/>
  <c r="O47" i="18" s="1"/>
  <c r="O56" i="18" a="1"/>
  <c r="O56" i="18" s="1"/>
  <c r="O64" i="18" a="1"/>
  <c r="O64" i="18" s="1"/>
  <c r="O70" i="18" a="1"/>
  <c r="O70" i="18" s="1"/>
  <c r="O76" i="18" a="1"/>
  <c r="O76" i="18" s="1"/>
  <c r="O83" i="18" a="1"/>
  <c r="O83" i="18" s="1"/>
  <c r="O89" i="18" a="1"/>
  <c r="O89" i="18" s="1"/>
  <c r="O95" i="18" a="1"/>
  <c r="O95" i="18" s="1"/>
  <c r="O98" i="18" a="1"/>
  <c r="O98" i="18" s="1"/>
  <c r="O101" i="18" a="1"/>
  <c r="O101" i="18" s="1"/>
  <c r="O105" i="18" a="1"/>
  <c r="O105" i="18" s="1"/>
  <c r="O106" i="18" a="1"/>
  <c r="O106" i="18" s="1"/>
  <c r="O107" i="18" a="1"/>
  <c r="O107" i="18" s="1"/>
  <c r="O108" i="18" a="1"/>
  <c r="O108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6" i="18" a="1"/>
  <c r="O116" i="18"/>
  <c r="O117" i="18" a="1"/>
  <c r="O117" i="18" s="1"/>
  <c r="O118" i="18" a="1"/>
  <c r="O118" i="18" s="1"/>
  <c r="O119" i="18" a="1"/>
  <c r="O119" i="18" s="1"/>
  <c r="O120" i="18" a="1"/>
  <c r="O120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8" i="18" a="1"/>
  <c r="O128" i="18" s="1"/>
  <c r="O129" i="18" a="1"/>
  <c r="O129" i="18" s="1"/>
  <c r="O130" i="18" a="1"/>
  <c r="O130" i="18" s="1"/>
  <c r="O131" i="18" a="1"/>
  <c r="O131" i="18" s="1"/>
  <c r="P2" i="18" a="1"/>
  <c r="P2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/>
  <c r="P35" i="18" a="1"/>
  <c r="P35" i="18" s="1"/>
  <c r="P36" i="18" a="1"/>
  <c r="P36" i="18" s="1"/>
  <c r="P37" i="18" a="1"/>
  <c r="P37" i="18" s="1"/>
  <c r="P38" i="18" a="1"/>
  <c r="P38" i="18"/>
  <c r="P39" i="18" a="1"/>
  <c r="P39" i="18" s="1"/>
  <c r="P40" i="18" a="1"/>
  <c r="P40" i="18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/>
  <c r="P47" i="18" a="1"/>
  <c r="P47" i="18" s="1"/>
  <c r="P48" i="18" a="1"/>
  <c r="P48" i="18" s="1"/>
  <c r="P49" i="18" a="1"/>
  <c r="P49" i="18" s="1"/>
  <c r="P50" i="18" a="1"/>
  <c r="P50" i="18"/>
  <c r="P51" i="18" a="1"/>
  <c r="P51" i="18" s="1"/>
  <c r="P52" i="18" a="1"/>
  <c r="P52" i="18" s="1"/>
  <c r="P53" i="18" a="1"/>
  <c r="P53" i="18" s="1"/>
  <c r="P54" i="18" a="1"/>
  <c r="P54" i="18"/>
  <c r="P55" i="18" a="1"/>
  <c r="P55" i="18" s="1"/>
  <c r="P56" i="18" a="1"/>
  <c r="P56" i="18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/>
  <c r="P63" i="18" a="1"/>
  <c r="P63" i="18" s="1"/>
  <c r="P64" i="18" a="1"/>
  <c r="P64" i="18" s="1"/>
  <c r="P65" i="18" a="1"/>
  <c r="P65" i="18" s="1"/>
  <c r="P66" i="18" a="1"/>
  <c r="P66" i="18"/>
  <c r="P67" i="18" a="1"/>
  <c r="P67" i="18" s="1"/>
  <c r="P68" i="18" a="1"/>
  <c r="P68" i="18" s="1"/>
  <c r="P69" i="18" a="1"/>
  <c r="P69" i="18" s="1"/>
  <c r="R69" i="18" s="1"/>
  <c r="U69" i="18" s="1"/>
  <c r="P70" i="18" a="1"/>
  <c r="P70" i="18" s="1"/>
  <c r="P71" i="18" a="1"/>
  <c r="P71" i="18" s="1"/>
  <c r="P72" i="18" a="1"/>
  <c r="P72" i="18"/>
  <c r="P73" i="18" a="1"/>
  <c r="P73" i="18" s="1"/>
  <c r="P74" i="18" a="1"/>
  <c r="P74" i="18"/>
  <c r="P75" i="18" a="1"/>
  <c r="P75" i="18" s="1"/>
  <c r="P76" i="18" a="1"/>
  <c r="P76" i="18" s="1"/>
  <c r="P77" i="18" a="1"/>
  <c r="P77" i="18" s="1"/>
  <c r="P78" i="18" a="1"/>
  <c r="P78" i="18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R84" i="18" s="1"/>
  <c r="U84" i="18" s="1"/>
  <c r="P85" i="18" a="1"/>
  <c r="P85" i="18" s="1"/>
  <c r="P86" i="18" a="1"/>
  <c r="P86" i="18"/>
  <c r="P87" i="18" a="1"/>
  <c r="P87" i="18" s="1"/>
  <c r="P88" i="18" a="1"/>
  <c r="P88" i="18"/>
  <c r="P89" i="18" a="1"/>
  <c r="P89" i="18" s="1"/>
  <c r="R89" i="18" s="1"/>
  <c r="U89" i="18" s="1"/>
  <c r="P90" i="18" a="1"/>
  <c r="P90" i="18" s="1"/>
  <c r="P91" i="18" a="1"/>
  <c r="P91" i="18" s="1"/>
  <c r="P92" i="18" a="1"/>
  <c r="P92" i="18" s="1"/>
  <c r="R92" i="18" s="1"/>
  <c r="U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R100" i="18" s="1"/>
  <c r="U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R105" i="18" s="1"/>
  <c r="U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R116" i="18" s="1"/>
  <c r="U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R121" i="18" s="1"/>
  <c r="U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Q2" i="18" a="1"/>
  <c r="Q2" i="18"/>
  <c r="Q3" i="18" a="1"/>
  <c r="Q3" i="18" s="1"/>
  <c r="Q4" i="18" a="1"/>
  <c r="Q4" i="18" s="1"/>
  <c r="Q5" i="18" a="1"/>
  <c r="Q5" i="18" s="1"/>
  <c r="R5" i="18" s="1"/>
  <c r="Q6" i="18" a="1"/>
  <c r="Q6" i="18" s="1"/>
  <c r="Q7" i="18" a="1"/>
  <c r="Q7" i="18" s="1"/>
  <c r="R7" i="18" s="1"/>
  <c r="U7" i="18" s="1"/>
  <c r="Q8" i="18" a="1"/>
  <c r="Q8" i="18" s="1"/>
  <c r="Q9" i="18" a="1"/>
  <c r="Q9" i="18" s="1"/>
  <c r="R9" i="18" s="1"/>
  <c r="U9" i="18" s="1"/>
  <c r="Q10" i="18" a="1"/>
  <c r="Q10" i="18" s="1"/>
  <c r="Q11" i="18" a="1"/>
  <c r="Q11" i="18" s="1"/>
  <c r="R11" i="18" s="1"/>
  <c r="U11" i="18" s="1"/>
  <c r="Q12" i="18" a="1"/>
  <c r="Q12" i="18" s="1"/>
  <c r="R12" i="18" s="1"/>
  <c r="U12" i="18" s="1"/>
  <c r="Q13" i="18" a="1"/>
  <c r="Q13" i="18" s="1"/>
  <c r="R13" i="18" s="1"/>
  <c r="U13" i="18" s="1"/>
  <c r="Q14" i="18" a="1"/>
  <c r="Q14" i="18" s="1"/>
  <c r="Q15" i="18" a="1"/>
  <c r="Q15" i="18" s="1"/>
  <c r="R15" i="18" s="1"/>
  <c r="U15" i="18" s="1"/>
  <c r="Q16" i="18" a="1"/>
  <c r="Q16" i="18" s="1"/>
  <c r="R16" i="18" s="1"/>
  <c r="U16" i="18" s="1"/>
  <c r="Q17" i="18" a="1"/>
  <c r="Q17" i="18" s="1"/>
  <c r="Q18" i="18" a="1"/>
  <c r="Q18" i="18" s="1"/>
  <c r="Q19" i="18" a="1"/>
  <c r="Q19" i="18" s="1"/>
  <c r="R19" i="18" s="1"/>
  <c r="U19" i="18" s="1"/>
  <c r="Q20" i="18" a="1"/>
  <c r="Q20" i="18" s="1"/>
  <c r="Q21" i="18" a="1"/>
  <c r="Q21" i="18" s="1"/>
  <c r="R21" i="18" s="1"/>
  <c r="U21" i="18" s="1"/>
  <c r="Q22" i="18" a="1"/>
  <c r="Q22" i="18" s="1"/>
  <c r="Q23" i="18" a="1"/>
  <c r="Q23" i="18"/>
  <c r="R23" i="18" s="1"/>
  <c r="U23" i="18" s="1"/>
  <c r="Q24" i="18" a="1"/>
  <c r="Q24" i="18" s="1"/>
  <c r="Q25" i="18" a="1"/>
  <c r="Q25" i="18" s="1"/>
  <c r="Q26" i="18" a="1"/>
  <c r="Q26" i="18" s="1"/>
  <c r="Q27" i="18" a="1"/>
  <c r="Q27" i="18" s="1"/>
  <c r="R27" i="18" s="1"/>
  <c r="U27" i="18" s="1"/>
  <c r="Q28" i="18" a="1"/>
  <c r="Q28" i="18" s="1"/>
  <c r="Q29" i="18" a="1"/>
  <c r="Q29" i="18" s="1"/>
  <c r="R29" i="18" s="1"/>
  <c r="U29" i="18" s="1"/>
  <c r="Q30" i="18" a="1"/>
  <c r="Q30" i="18" s="1"/>
  <c r="Q31" i="18" a="1"/>
  <c r="Q31" i="18" s="1"/>
  <c r="R31" i="18" s="1"/>
  <c r="U31" i="18" s="1"/>
  <c r="Q32" i="18" a="1"/>
  <c r="Q32" i="18" s="1"/>
  <c r="R32" i="18" s="1"/>
  <c r="U32" i="18" s="1"/>
  <c r="Q33" i="18" a="1"/>
  <c r="Q33" i="18" s="1"/>
  <c r="Q34" i="18" a="1"/>
  <c r="Q34" i="18" s="1"/>
  <c r="Q35" i="18" a="1"/>
  <c r="Q35" i="18" s="1"/>
  <c r="R35" i="18" s="1"/>
  <c r="U35" i="18" s="1"/>
  <c r="Q36" i="18" a="1"/>
  <c r="Q36" i="18" s="1"/>
  <c r="Q37" i="18" a="1"/>
  <c r="Q37" i="18" s="1"/>
  <c r="Q38" i="18" a="1"/>
  <c r="Q38" i="18" s="1"/>
  <c r="Q39" i="18" a="1"/>
  <c r="Q39" i="18" s="1"/>
  <c r="R39" i="18" s="1"/>
  <c r="U39" i="18" s="1"/>
  <c r="Q40" i="18" a="1"/>
  <c r="Q40" i="18" s="1"/>
  <c r="R40" i="18" s="1"/>
  <c r="U40" i="18" s="1"/>
  <c r="Q41" i="18" a="1"/>
  <c r="Q41" i="18" s="1"/>
  <c r="Q42" i="18" a="1"/>
  <c r="Q42" i="18" s="1"/>
  <c r="Q43" i="18" a="1"/>
  <c r="Q43" i="18" s="1"/>
  <c r="R43" i="18" s="1"/>
  <c r="U43" i="18" s="1"/>
  <c r="Q44" i="18" a="1"/>
  <c r="Q44" i="18" s="1"/>
  <c r="Q45" i="18" a="1"/>
  <c r="Q45" i="18" s="1"/>
  <c r="R45" i="18" s="1"/>
  <c r="U45" i="18" s="1"/>
  <c r="Q46" i="18" a="1"/>
  <c r="Q46" i="18" s="1"/>
  <c r="R46" i="18" s="1"/>
  <c r="U46" i="18" s="1"/>
  <c r="Q47" i="18" a="1"/>
  <c r="Q47" i="18" s="1"/>
  <c r="R47" i="18" s="1"/>
  <c r="U47" i="18" s="1"/>
  <c r="Q48" i="18" a="1"/>
  <c r="Q48" i="18" s="1"/>
  <c r="R48" i="18" s="1"/>
  <c r="U48" i="18" s="1"/>
  <c r="Q49" i="18" a="1"/>
  <c r="Q49" i="18" s="1"/>
  <c r="Q50" i="18" a="1"/>
  <c r="Q50" i="18" s="1"/>
  <c r="R50" i="18" s="1"/>
  <c r="U50" i="18" s="1"/>
  <c r="Q51" i="18" a="1"/>
  <c r="Q51" i="18" s="1"/>
  <c r="R51" i="18" s="1"/>
  <c r="U51" i="18" s="1"/>
  <c r="Q52" i="18" a="1"/>
  <c r="Q52" i="18" s="1"/>
  <c r="R52" i="18" s="1"/>
  <c r="U52" i="18" s="1"/>
  <c r="Q53" i="18" a="1"/>
  <c r="Q53" i="18" s="1"/>
  <c r="R53" i="18" s="1"/>
  <c r="U53" i="18" s="1"/>
  <c r="Q54" i="18" a="1"/>
  <c r="Q54" i="18" s="1"/>
  <c r="Q55" i="18" a="1"/>
  <c r="Q55" i="18" s="1"/>
  <c r="R55" i="18" s="1"/>
  <c r="U55" i="18" s="1"/>
  <c r="Q56" i="18" a="1"/>
  <c r="Q56" i="18" s="1"/>
  <c r="Q57" i="18" a="1"/>
  <c r="Q57" i="18" s="1"/>
  <c r="Q58" i="18" a="1"/>
  <c r="Q58" i="18" s="1"/>
  <c r="Q59" i="18" a="1"/>
  <c r="Q59" i="18" s="1"/>
  <c r="R59" i="18" s="1"/>
  <c r="U59" i="18" s="1"/>
  <c r="Q60" i="18" a="1"/>
  <c r="Q60" i="18" s="1"/>
  <c r="R60" i="18" s="1"/>
  <c r="U60" i="18" s="1"/>
  <c r="Q61" i="18" a="1"/>
  <c r="Q61" i="18" s="1"/>
  <c r="R61" i="18" s="1"/>
  <c r="U61" i="18" s="1"/>
  <c r="Q62" i="18" a="1"/>
  <c r="Q62" i="18" s="1"/>
  <c r="Q63" i="18" a="1"/>
  <c r="Q63" i="18" s="1"/>
  <c r="R63" i="18" s="1"/>
  <c r="U63" i="18" s="1"/>
  <c r="Q64" i="18" a="1"/>
  <c r="Q64" i="18" s="1"/>
  <c r="Q65" i="18" a="1"/>
  <c r="Q65" i="18" s="1"/>
  <c r="R65" i="18" s="1"/>
  <c r="U65" i="18" s="1"/>
  <c r="Q66" i="18" a="1"/>
  <c r="Q66" i="18"/>
  <c r="Q67" i="18" a="1"/>
  <c r="Q67" i="18" s="1"/>
  <c r="R67" i="18" s="1"/>
  <c r="U67" i="18" s="1"/>
  <c r="Q68" i="18" a="1"/>
  <c r="Q68" i="18" s="1"/>
  <c r="Q69" i="18" a="1"/>
  <c r="Q69" i="18" s="1"/>
  <c r="Q70" i="18" a="1"/>
  <c r="Q70" i="18" s="1"/>
  <c r="Q71" i="18" a="1"/>
  <c r="Q71" i="18" s="1"/>
  <c r="R71" i="18" s="1"/>
  <c r="U71" i="18" s="1"/>
  <c r="Q72" i="18" a="1"/>
  <c r="Q72" i="18" s="1"/>
  <c r="R72" i="18" s="1"/>
  <c r="U72" i="18" s="1"/>
  <c r="Q73" i="18" a="1"/>
  <c r="Q73" i="18" s="1"/>
  <c r="Q74" i="18" a="1"/>
  <c r="Q74" i="18" s="1"/>
  <c r="R74" i="18" s="1"/>
  <c r="U74" i="18" s="1"/>
  <c r="Q75" i="18" a="1"/>
  <c r="Q75" i="18" s="1"/>
  <c r="R75" i="18" s="1"/>
  <c r="U75" i="18" s="1"/>
  <c r="Q76" i="18" a="1"/>
  <c r="Q76" i="18" s="1"/>
  <c r="R76" i="18" s="1"/>
  <c r="U76" i="18" s="1"/>
  <c r="Q77" i="18" a="1"/>
  <c r="Q77" i="18" s="1"/>
  <c r="R77" i="18" s="1"/>
  <c r="U77" i="18" s="1"/>
  <c r="Q78" i="18" a="1"/>
  <c r="Q78" i="18" s="1"/>
  <c r="R78" i="18" s="1"/>
  <c r="U78" i="18" s="1"/>
  <c r="Q79" i="18" a="1"/>
  <c r="Q79" i="18" s="1"/>
  <c r="R79" i="18" s="1"/>
  <c r="U79" i="18" s="1"/>
  <c r="Q80" i="18" a="1"/>
  <c r="Q80" i="18" s="1"/>
  <c r="R80" i="18" s="1"/>
  <c r="U80" i="18" s="1"/>
  <c r="Q81" i="18" a="1"/>
  <c r="Q81" i="18" s="1"/>
  <c r="R81" i="18" s="1"/>
  <c r="U81" i="18" s="1"/>
  <c r="Q82" i="18" a="1"/>
  <c r="Q82" i="18" s="1"/>
  <c r="Q83" i="18" a="1"/>
  <c r="Q83" i="18" s="1"/>
  <c r="R83" i="18" s="1"/>
  <c r="U83" i="18" s="1"/>
  <c r="Q84" i="18" a="1"/>
  <c r="Q84" i="18" s="1"/>
  <c r="Q85" i="18" a="1"/>
  <c r="Q85" i="18" s="1"/>
  <c r="Q86" i="18" a="1"/>
  <c r="Q86" i="18" s="1"/>
  <c r="Q87" i="18" a="1"/>
  <c r="Q87" i="18"/>
  <c r="R87" i="18" s="1"/>
  <c r="U87" i="18" s="1"/>
  <c r="Q88" i="18" a="1"/>
  <c r="Q88" i="18" s="1"/>
  <c r="R88" i="18" s="1"/>
  <c r="U88" i="18" s="1"/>
  <c r="Q89" i="18" a="1"/>
  <c r="Q89" i="18" s="1"/>
  <c r="Q90" i="18" a="1"/>
  <c r="Q90" i="18" s="1"/>
  <c r="R90" i="18" s="1"/>
  <c r="U90" i="18" s="1"/>
  <c r="Q91" i="18" a="1"/>
  <c r="Q91" i="18" s="1"/>
  <c r="R91" i="18" s="1"/>
  <c r="U91" i="18" s="1"/>
  <c r="Q92" i="18" a="1"/>
  <c r="Q92" i="18" s="1"/>
  <c r="Q93" i="18" a="1"/>
  <c r="Q93" i="18" s="1"/>
  <c r="R93" i="18" s="1"/>
  <c r="U93" i="18" s="1"/>
  <c r="Q94" i="18" a="1"/>
  <c r="Q94" i="18" s="1"/>
  <c r="Q95" i="18" a="1"/>
  <c r="Q95" i="18" s="1"/>
  <c r="R95" i="18" s="1"/>
  <c r="U95" i="18" s="1"/>
  <c r="Q96" i="18" a="1"/>
  <c r="Q96" i="18" s="1"/>
  <c r="Q97" i="18" a="1"/>
  <c r="Q97" i="18" s="1"/>
  <c r="Q98" i="18" a="1"/>
  <c r="Q98" i="18" s="1"/>
  <c r="R98" i="18" s="1"/>
  <c r="U98" i="18" s="1"/>
  <c r="Q99" i="18" a="1"/>
  <c r="Q99" i="18" s="1"/>
  <c r="R99" i="18" s="1"/>
  <c r="U99" i="18" s="1"/>
  <c r="Q100" i="18" a="1"/>
  <c r="Q100" i="18" s="1"/>
  <c r="Q101" i="18" a="1"/>
  <c r="Q101" i="18" s="1"/>
  <c r="Q102" i="18" a="1"/>
  <c r="Q102" i="18" s="1"/>
  <c r="Q103" i="18" a="1"/>
  <c r="Q103" i="18" s="1"/>
  <c r="R103" i="18" s="1"/>
  <c r="U103" i="18" s="1"/>
  <c r="Q104" i="18" a="1"/>
  <c r="Q104" i="18" s="1"/>
  <c r="R104" i="18" s="1"/>
  <c r="U104" i="18" s="1"/>
  <c r="Q105" i="18" a="1"/>
  <c r="Q105" i="18" s="1"/>
  <c r="Q106" i="18" a="1"/>
  <c r="Q106" i="18" s="1"/>
  <c r="R106" i="18" s="1"/>
  <c r="Q107" i="18" a="1"/>
  <c r="Q107" i="18" s="1"/>
  <c r="R107" i="18" s="1"/>
  <c r="U107" i="18" s="1"/>
  <c r="Q108" i="18" a="1"/>
  <c r="Q108" i="18" s="1"/>
  <c r="R108" i="18" s="1"/>
  <c r="U108" i="18" s="1"/>
  <c r="Q109" i="18" a="1"/>
  <c r="Q109" i="18" s="1"/>
  <c r="R109" i="18" s="1"/>
  <c r="U109" i="18" s="1"/>
  <c r="Q110" i="18" a="1"/>
  <c r="Q110" i="18" s="1"/>
  <c r="R110" i="18" s="1"/>
  <c r="U110" i="18" s="1"/>
  <c r="Q111" i="18" a="1"/>
  <c r="Q111" i="18" s="1"/>
  <c r="R111" i="18" s="1"/>
  <c r="U111" i="18" s="1"/>
  <c r="Q112" i="18" a="1"/>
  <c r="Q112" i="18" s="1"/>
  <c r="Q113" i="18" a="1"/>
  <c r="Q113" i="18" s="1"/>
  <c r="Q114" i="18" a="1"/>
  <c r="Q114" i="18" s="1"/>
  <c r="R114" i="18" s="1"/>
  <c r="Q115" i="18" a="1"/>
  <c r="Q115" i="18" s="1"/>
  <c r="R115" i="18" s="1"/>
  <c r="U115" i="18" s="1"/>
  <c r="Q116" i="18" a="1"/>
  <c r="Q116" i="18" s="1"/>
  <c r="Q117" i="18" a="1"/>
  <c r="Q117" i="18" s="1"/>
  <c r="Q118" i="18" a="1"/>
  <c r="Q118" i="18" s="1"/>
  <c r="Q119" i="18" a="1"/>
  <c r="Q119" i="18" s="1"/>
  <c r="R119" i="18" s="1"/>
  <c r="U119" i="18" s="1"/>
  <c r="Q120" i="18" a="1"/>
  <c r="Q120" i="18" s="1"/>
  <c r="Q121" i="18" a="1"/>
  <c r="Q121" i="18" s="1"/>
  <c r="Q122" i="18" a="1"/>
  <c r="Q122" i="18" s="1"/>
  <c r="R122" i="18" s="1"/>
  <c r="Q123" i="18" a="1"/>
  <c r="Q123" i="18" s="1"/>
  <c r="R123" i="18" s="1"/>
  <c r="U123" i="18" s="1"/>
  <c r="Q124" i="18" a="1"/>
  <c r="Q124" i="18" s="1"/>
  <c r="R124" i="18" s="1"/>
  <c r="U124" i="18" s="1"/>
  <c r="Q125" i="18" a="1"/>
  <c r="Q125" i="18" s="1"/>
  <c r="Q126" i="18" a="1"/>
  <c r="Q126" i="18" s="1"/>
  <c r="Q127" i="18" a="1"/>
  <c r="Q127" i="18" s="1"/>
  <c r="R127" i="18" s="1"/>
  <c r="U127" i="18" s="1"/>
  <c r="Q128" i="18" a="1"/>
  <c r="Q128" i="18" s="1"/>
  <c r="Q129" i="18" a="1"/>
  <c r="Q129" i="18" s="1"/>
  <c r="Q130" i="18" a="1"/>
  <c r="Q130" i="18"/>
  <c r="Q131" i="18" a="1"/>
  <c r="Q131" i="18" s="1"/>
  <c r="R131" i="18" s="1"/>
  <c r="U131" i="18" s="1"/>
  <c r="R17" i="18"/>
  <c r="R20" i="18"/>
  <c r="R25" i="18"/>
  <c r="R28" i="18"/>
  <c r="R33" i="18"/>
  <c r="R36" i="18"/>
  <c r="R37" i="18"/>
  <c r="R41" i="18"/>
  <c r="R49" i="18"/>
  <c r="R56" i="18"/>
  <c r="R57" i="18"/>
  <c r="R64" i="18"/>
  <c r="R73" i="18"/>
  <c r="S2" i="18" a="1"/>
  <c r="S2" i="18" s="1"/>
  <c r="S3" i="18" a="1"/>
  <c r="S3" i="18" s="1"/>
  <c r="S4" i="18" a="1"/>
  <c r="S4" i="18" s="1"/>
  <c r="S5" i="18" a="1"/>
  <c r="S5" i="18" s="1"/>
  <c r="S6" i="18" a="1"/>
  <c r="S6" i="18"/>
  <c r="S7" i="18" a="1"/>
  <c r="S7" i="18"/>
  <c r="S8" i="18" a="1"/>
  <c r="S8" i="18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/>
  <c r="S16" i="18" a="1"/>
  <c r="S16" i="18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/>
  <c r="S39" i="18" a="1"/>
  <c r="S39" i="18"/>
  <c r="S40" i="18" a="1"/>
  <c r="S40" i="18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/>
  <c r="S48" i="18" a="1"/>
  <c r="S48" i="18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/>
  <c r="S71" i="18" a="1"/>
  <c r="S71" i="18"/>
  <c r="S72" i="18" a="1"/>
  <c r="S72" i="18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/>
  <c r="S79" i="18" a="1"/>
  <c r="S79" i="18"/>
  <c r="S80" i="18" a="1"/>
  <c r="S80" i="18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U5" i="18"/>
  <c r="U17" i="18"/>
  <c r="U20" i="18"/>
  <c r="U25" i="18"/>
  <c r="U28" i="18"/>
  <c r="U33" i="18"/>
  <c r="U36" i="18"/>
  <c r="U37" i="18"/>
  <c r="U41" i="18"/>
  <c r="U49" i="18"/>
  <c r="U56" i="18"/>
  <c r="U57" i="18"/>
  <c r="U64" i="18"/>
  <c r="U73" i="18"/>
  <c r="U106" i="18"/>
  <c r="U122" i="18"/>
  <c r="L2" i="17"/>
  <c r="L3" i="17"/>
  <c r="L4" i="17"/>
  <c r="L5" i="17"/>
  <c r="L6" i="17"/>
  <c r="L7" i="17"/>
  <c r="L62" i="17"/>
  <c r="L72" i="17"/>
  <c r="L82" i="17"/>
  <c r="L92" i="17"/>
  <c r="L102" i="17"/>
  <c r="L112" i="17"/>
  <c r="L8" i="17"/>
  <c r="L9" i="17"/>
  <c r="L10" i="17"/>
  <c r="L11" i="17"/>
  <c r="L12" i="17"/>
  <c r="L13" i="17"/>
  <c r="L63" i="17"/>
  <c r="L73" i="17"/>
  <c r="L83" i="17"/>
  <c r="L93" i="17"/>
  <c r="L103" i="17"/>
  <c r="L113" i="17"/>
  <c r="L14" i="17"/>
  <c r="L15" i="17"/>
  <c r="L16" i="17"/>
  <c r="L17" i="17"/>
  <c r="L18" i="17"/>
  <c r="L19" i="17"/>
  <c r="L64" i="17"/>
  <c r="N64" i="17" s="1" a="1"/>
  <c r="N64" i="17" s="1"/>
  <c r="L74" i="17"/>
  <c r="L84" i="17"/>
  <c r="L94" i="17"/>
  <c r="L104" i="17"/>
  <c r="L114" i="17"/>
  <c r="L20" i="17"/>
  <c r="L21" i="17"/>
  <c r="L22" i="17"/>
  <c r="L23" i="17"/>
  <c r="L24" i="17"/>
  <c r="L25" i="17"/>
  <c r="L65" i="17"/>
  <c r="L75" i="17"/>
  <c r="L85" i="17"/>
  <c r="L95" i="17"/>
  <c r="L105" i="17"/>
  <c r="L115" i="17"/>
  <c r="L26" i="17"/>
  <c r="L27" i="17"/>
  <c r="L28" i="17"/>
  <c r="L29" i="17"/>
  <c r="L30" i="17"/>
  <c r="L31" i="17"/>
  <c r="L66" i="17"/>
  <c r="L76" i="17"/>
  <c r="L86" i="17"/>
  <c r="L96" i="17"/>
  <c r="L106" i="17"/>
  <c r="L116" i="17"/>
  <c r="L32" i="17"/>
  <c r="L33" i="17"/>
  <c r="L34" i="17"/>
  <c r="N12" i="17" s="1" a="1"/>
  <c r="N12" i="17" s="1"/>
  <c r="L35" i="17"/>
  <c r="L36" i="17"/>
  <c r="L37" i="17"/>
  <c r="L67" i="17"/>
  <c r="L77" i="17"/>
  <c r="L87" i="17"/>
  <c r="L97" i="17"/>
  <c r="L107" i="17"/>
  <c r="L117" i="17"/>
  <c r="L38" i="17"/>
  <c r="L39" i="17"/>
  <c r="L40" i="17"/>
  <c r="L41" i="17"/>
  <c r="L42" i="17"/>
  <c r="L43" i="17"/>
  <c r="L68" i="17"/>
  <c r="L78" i="17"/>
  <c r="N78" i="17" s="1" a="1"/>
  <c r="N78" i="17" s="1"/>
  <c r="L88" i="17"/>
  <c r="L98" i="17"/>
  <c r="L108" i="17"/>
  <c r="L118" i="17"/>
  <c r="L44" i="17"/>
  <c r="L45" i="17"/>
  <c r="L46" i="17"/>
  <c r="N38" i="17" s="1" a="1"/>
  <c r="N38" i="17" s="1"/>
  <c r="L47" i="17"/>
  <c r="L48" i="17"/>
  <c r="L49" i="17"/>
  <c r="L69" i="17"/>
  <c r="L79" i="17"/>
  <c r="L89" i="17"/>
  <c r="L99" i="17"/>
  <c r="L109" i="17"/>
  <c r="N109" i="17" s="1" a="1"/>
  <c r="N109" i="17" s="1"/>
  <c r="L119" i="17"/>
  <c r="L50" i="17"/>
  <c r="L51" i="17"/>
  <c r="L52" i="17"/>
  <c r="L53" i="17"/>
  <c r="L54" i="17"/>
  <c r="L55" i="17"/>
  <c r="L70" i="17"/>
  <c r="L80" i="17"/>
  <c r="L90" i="17"/>
  <c r="L100" i="17"/>
  <c r="L110" i="17"/>
  <c r="L120" i="17"/>
  <c r="L56" i="17"/>
  <c r="L57" i="17"/>
  <c r="L58" i="17"/>
  <c r="O84" i="17" s="1" a="1"/>
  <c r="O84" i="17" s="1"/>
  <c r="L59" i="17"/>
  <c r="L60" i="17"/>
  <c r="L61" i="17"/>
  <c r="L71" i="17"/>
  <c r="L81" i="17"/>
  <c r="L91" i="17"/>
  <c r="L101" i="17"/>
  <c r="L111" i="17"/>
  <c r="N111" i="17" s="1" a="1"/>
  <c r="N111" i="17" s="1"/>
  <c r="L12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62" i="17" a="1"/>
  <c r="M62" i="17" s="1"/>
  <c r="M72" i="17" a="1"/>
  <c r="M72" i="17" s="1"/>
  <c r="M82" i="17" a="1"/>
  <c r="M82" i="17" s="1"/>
  <c r="M92" i="17" a="1"/>
  <c r="M92" i="17" s="1"/>
  <c r="M102" i="17" a="1"/>
  <c r="M102" i="17" s="1"/>
  <c r="M112" i="17" a="1"/>
  <c r="M11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63" i="17" a="1"/>
  <c r="M63" i="17" s="1"/>
  <c r="M73" i="17" a="1"/>
  <c r="M73" i="17" s="1"/>
  <c r="M83" i="17" a="1"/>
  <c r="M83" i="17" s="1"/>
  <c r="M93" i="17" a="1"/>
  <c r="M93" i="17" s="1"/>
  <c r="M103" i="17" a="1"/>
  <c r="M103" i="17" s="1"/>
  <c r="M113" i="17" a="1"/>
  <c r="M1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64" i="17" a="1"/>
  <c r="M64" i="17" s="1"/>
  <c r="M74" i="17" a="1"/>
  <c r="M74" i="17" s="1"/>
  <c r="M84" i="17" a="1"/>
  <c r="M84" i="17" s="1"/>
  <c r="M94" i="17" a="1"/>
  <c r="M94" i="17" s="1"/>
  <c r="M104" i="17" a="1"/>
  <c r="M104" i="17"/>
  <c r="M114" i="17" a="1"/>
  <c r="M11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Y24" i="17" s="1"/>
  <c r="M25" i="17" a="1"/>
  <c r="M25" i="17" s="1"/>
  <c r="M65" i="17" a="1"/>
  <c r="M65" i="17" s="1"/>
  <c r="M75" i="17" a="1"/>
  <c r="M75" i="17" s="1"/>
  <c r="M85" i="17" a="1"/>
  <c r="M85" i="17" s="1"/>
  <c r="M95" i="17" a="1"/>
  <c r="M95" i="17" s="1"/>
  <c r="M105" i="17" a="1"/>
  <c r="M105" i="17" s="1"/>
  <c r="M115" i="17" a="1"/>
  <c r="M11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66" i="17" a="1"/>
  <c r="M66" i="17" s="1"/>
  <c r="M76" i="17" a="1"/>
  <c r="M76" i="17" s="1"/>
  <c r="M86" i="17" a="1"/>
  <c r="M86" i="17"/>
  <c r="M96" i="17" a="1"/>
  <c r="M96" i="17" s="1"/>
  <c r="M106" i="17" a="1"/>
  <c r="M106" i="17" s="1"/>
  <c r="M116" i="17" a="1"/>
  <c r="M116" i="17" s="1"/>
  <c r="M32" i="17" a="1"/>
  <c r="M32" i="17" s="1"/>
  <c r="M33" i="17" a="1"/>
  <c r="M33" i="17" s="1"/>
  <c r="M34" i="17" a="1"/>
  <c r="M34" i="17"/>
  <c r="M35" i="17" a="1"/>
  <c r="M35" i="17" s="1"/>
  <c r="M36" i="17" a="1"/>
  <c r="M36" i="17" s="1"/>
  <c r="M37" i="17" a="1"/>
  <c r="M37" i="17" s="1"/>
  <c r="M67" i="17" a="1"/>
  <c r="M67" i="17" s="1"/>
  <c r="M77" i="17" a="1"/>
  <c r="M77" i="17" s="1"/>
  <c r="M87" i="17" a="1"/>
  <c r="M87" i="17" s="1"/>
  <c r="M97" i="17" a="1"/>
  <c r="M97" i="17" s="1"/>
  <c r="M107" i="17" a="1"/>
  <c r="M107" i="17" s="1"/>
  <c r="M117" i="17" a="1"/>
  <c r="M117" i="17" s="1"/>
  <c r="M38" i="17" a="1"/>
  <c r="M38" i="17" s="1"/>
  <c r="Y38" i="17" s="1"/>
  <c r="M39" i="17" a="1"/>
  <c r="M39" i="17" s="1"/>
  <c r="M40" i="17" a="1"/>
  <c r="M40" i="17" s="1"/>
  <c r="Y40" i="17" s="1"/>
  <c r="M41" i="17" a="1"/>
  <c r="M41" i="17" s="1"/>
  <c r="M42" i="17" a="1"/>
  <c r="M42" i="17" s="1"/>
  <c r="M43" i="17" a="1"/>
  <c r="M43" i="17" s="1"/>
  <c r="M68" i="17" a="1"/>
  <c r="M68" i="17" s="1"/>
  <c r="M78" i="17" a="1"/>
  <c r="M78" i="17" s="1"/>
  <c r="M88" i="17" a="1"/>
  <c r="M88" i="17" s="1"/>
  <c r="M98" i="17" a="1"/>
  <c r="M98" i="17" s="1"/>
  <c r="M108" i="17" a="1"/>
  <c r="M108" i="17" s="1"/>
  <c r="M118" i="17" a="1"/>
  <c r="M11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69" i="17" a="1"/>
  <c r="M69" i="17"/>
  <c r="M79" i="17" a="1"/>
  <c r="M79" i="17" s="1"/>
  <c r="M89" i="17" a="1"/>
  <c r="M89" i="17" s="1"/>
  <c r="M99" i="17" a="1"/>
  <c r="M99" i="17" s="1"/>
  <c r="M109" i="17" a="1"/>
  <c r="M109" i="17" s="1"/>
  <c r="M119" i="17" a="1"/>
  <c r="M11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70" i="17" a="1"/>
  <c r="M70" i="17" s="1"/>
  <c r="M80" i="17" a="1"/>
  <c r="M80" i="17" s="1"/>
  <c r="M90" i="17" a="1"/>
  <c r="M90" i="17" s="1"/>
  <c r="M100" i="17" a="1"/>
  <c r="M100" i="17" s="1"/>
  <c r="M110" i="17" a="1"/>
  <c r="M110" i="17" s="1"/>
  <c r="M120" i="17" a="1"/>
  <c r="M12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71" i="17" a="1"/>
  <c r="M71" i="17" s="1"/>
  <c r="M81" i="17" a="1"/>
  <c r="M81" i="17" s="1"/>
  <c r="M91" i="17" a="1"/>
  <c r="M91" i="17" s="1"/>
  <c r="M101" i="17" a="1"/>
  <c r="M101" i="17" s="1"/>
  <c r="M111" i="17" a="1"/>
  <c r="M111" i="17" s="1"/>
  <c r="M121" i="17" a="1"/>
  <c r="M121" i="17" s="1"/>
  <c r="N112" i="17" a="1"/>
  <c r="N112" i="17" s="1"/>
  <c r="N26" i="17" a="1"/>
  <c r="N26" i="17" s="1"/>
  <c r="N87" i="17" a="1"/>
  <c r="N87" i="17" s="1"/>
  <c r="N98" i="17" a="1"/>
  <c r="N98" i="17" s="1"/>
  <c r="N89" i="17" a="1"/>
  <c r="N89" i="17" s="1"/>
  <c r="N70" i="17" a="1"/>
  <c r="N70" i="17" s="1"/>
  <c r="N57" i="17" a="1"/>
  <c r="N57" i="17" s="1"/>
  <c r="N91" i="17" a="1"/>
  <c r="N91" i="17" s="1"/>
  <c r="O5" i="17" a="1"/>
  <c r="O5" i="17" s="1"/>
  <c r="O6" i="17" a="1"/>
  <c r="O6" i="17" s="1"/>
  <c r="O62" i="17" a="1"/>
  <c r="O62" i="17" s="1"/>
  <c r="O92" i="17" a="1"/>
  <c r="O92" i="17" s="1"/>
  <c r="O102" i="17" a="1"/>
  <c r="O102" i="17" s="1"/>
  <c r="O112" i="17" a="1"/>
  <c r="O112" i="17" s="1"/>
  <c r="O9" i="17" a="1"/>
  <c r="O9" i="17" s="1"/>
  <c r="O12" i="17" a="1"/>
  <c r="O12" i="17" s="1"/>
  <c r="O13" i="17" a="1"/>
  <c r="O13" i="17" s="1"/>
  <c r="O63" i="17" a="1"/>
  <c r="O63" i="17" s="1"/>
  <c r="O83" i="17" a="1"/>
  <c r="O83" i="17" s="1"/>
  <c r="O113" i="17" a="1"/>
  <c r="O113" i="17" s="1"/>
  <c r="O14" i="17" a="1"/>
  <c r="O14" i="17" s="1"/>
  <c r="O16" i="17" a="1"/>
  <c r="O16" i="17" s="1"/>
  <c r="O17" i="17" a="1"/>
  <c r="O17" i="17" s="1"/>
  <c r="O64" i="17" a="1"/>
  <c r="O64" i="17" s="1"/>
  <c r="O74" i="17" a="1"/>
  <c r="O74" i="17" s="1"/>
  <c r="O94" i="17" a="1"/>
  <c r="O94" i="17" s="1"/>
  <c r="O104" i="17" a="1"/>
  <c r="O104" i="17" s="1"/>
  <c r="O114" i="17" a="1"/>
  <c r="O114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65" i="17" a="1"/>
  <c r="O65" i="17" s="1"/>
  <c r="O75" i="17" a="1"/>
  <c r="O75" i="17"/>
  <c r="O85" i="17" a="1"/>
  <c r="O85" i="17" s="1"/>
  <c r="O95" i="17" a="1"/>
  <c r="O95" i="17" s="1"/>
  <c r="O105" i="17" a="1"/>
  <c r="O105" i="17" s="1"/>
  <c r="O115" i="17" a="1"/>
  <c r="O11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66" i="17" a="1"/>
  <c r="O66" i="17" s="1"/>
  <c r="O76" i="17" a="1"/>
  <c r="O76" i="17"/>
  <c r="O86" i="17" a="1"/>
  <c r="O86" i="17" s="1"/>
  <c r="O96" i="17" a="1"/>
  <c r="O96" i="17" s="1"/>
  <c r="O106" i="17" a="1"/>
  <c r="O106" i="17" s="1"/>
  <c r="O116" i="17" a="1"/>
  <c r="O116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67" i="17" a="1"/>
  <c r="O67" i="17"/>
  <c r="O77" i="17" a="1"/>
  <c r="O77" i="17" s="1"/>
  <c r="O87" i="17" a="1"/>
  <c r="O87" i="17" s="1"/>
  <c r="O97" i="17" a="1"/>
  <c r="O97" i="17" s="1"/>
  <c r="O107" i="17" a="1"/>
  <c r="O107" i="17" s="1"/>
  <c r="O117" i="17" a="1"/>
  <c r="O11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68" i="17" a="1"/>
  <c r="O68" i="17" s="1"/>
  <c r="O78" i="17" a="1"/>
  <c r="O78" i="17" s="1"/>
  <c r="O88" i="17" a="1"/>
  <c r="O88" i="17" s="1"/>
  <c r="O98" i="17" a="1"/>
  <c r="O98" i="17" s="1"/>
  <c r="O108" i="17" a="1"/>
  <c r="O108" i="17" s="1"/>
  <c r="O118" i="17" a="1"/>
  <c r="O118" i="17" s="1"/>
  <c r="O44" i="17" a="1"/>
  <c r="O44" i="17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69" i="17" a="1"/>
  <c r="O69" i="17" s="1"/>
  <c r="O79" i="17" a="1"/>
  <c r="O79" i="17" s="1"/>
  <c r="O89" i="17" a="1"/>
  <c r="O89" i="17" s="1"/>
  <c r="O99" i="17" a="1"/>
  <c r="O99" i="17" s="1"/>
  <c r="O109" i="17" a="1"/>
  <c r="O109" i="17" s="1"/>
  <c r="O119" i="17" a="1"/>
  <c r="O119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70" i="17" a="1"/>
  <c r="O70" i="17" s="1"/>
  <c r="O80" i="17" a="1"/>
  <c r="O80" i="17" s="1"/>
  <c r="O90" i="17" a="1"/>
  <c r="O90" i="17" s="1"/>
  <c r="O100" i="17" a="1"/>
  <c r="O100" i="17" s="1"/>
  <c r="O110" i="17" a="1"/>
  <c r="O110" i="17"/>
  <c r="O120" i="17" a="1"/>
  <c r="O12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71" i="17" a="1"/>
  <c r="O71" i="17" s="1"/>
  <c r="O81" i="17" a="1"/>
  <c r="O81" i="17" s="1"/>
  <c r="O91" i="17" a="1"/>
  <c r="O91" i="17"/>
  <c r="O101" i="17" a="1"/>
  <c r="O101" i="17" s="1"/>
  <c r="O111" i="17" a="1"/>
  <c r="O111" i="17" s="1"/>
  <c r="O121" i="17" a="1"/>
  <c r="O121" i="17" s="1"/>
  <c r="P2" i="17" a="1"/>
  <c r="P2" i="17" s="1"/>
  <c r="P3" i="17" a="1"/>
  <c r="P3" i="17"/>
  <c r="P4" i="17" a="1"/>
  <c r="P4" i="17"/>
  <c r="P5" i="17" a="1"/>
  <c r="P5" i="17" s="1"/>
  <c r="P6" i="17" a="1"/>
  <c r="P6" i="17" s="1"/>
  <c r="P7" i="17" a="1"/>
  <c r="P7" i="17" s="1"/>
  <c r="P62" i="17" a="1"/>
  <c r="P62" i="17" s="1"/>
  <c r="P72" i="17" a="1"/>
  <c r="P72" i="17" s="1"/>
  <c r="P82" i="17" a="1"/>
  <c r="P82" i="17"/>
  <c r="P92" i="17" a="1"/>
  <c r="P92" i="17" s="1"/>
  <c r="P102" i="17" a="1"/>
  <c r="P102" i="17"/>
  <c r="P112" i="17" a="1"/>
  <c r="P112" i="17" s="1"/>
  <c r="P8" i="17" a="1"/>
  <c r="P8" i="17"/>
  <c r="P9" i="17" a="1"/>
  <c r="P9" i="17" s="1"/>
  <c r="P10" i="17" a="1"/>
  <c r="P10" i="17" s="1"/>
  <c r="P11" i="17" a="1"/>
  <c r="P11" i="17" s="1"/>
  <c r="P12" i="17" a="1"/>
  <c r="P12" i="17"/>
  <c r="P13" i="17" a="1"/>
  <c r="P13" i="17" s="1"/>
  <c r="P63" i="17" a="1"/>
  <c r="P63" i="17" s="1"/>
  <c r="P73" i="17" a="1"/>
  <c r="P73" i="17" s="1"/>
  <c r="P83" i="17" a="1"/>
  <c r="P83" i="17" s="1"/>
  <c r="P93" i="17" a="1"/>
  <c r="P93" i="17" s="1"/>
  <c r="P103" i="17" a="1"/>
  <c r="P103" i="17" s="1"/>
  <c r="P113" i="17" a="1"/>
  <c r="P113" i="17" s="1"/>
  <c r="P14" i="17" a="1"/>
  <c r="P14" i="17" s="1"/>
  <c r="P15" i="17" a="1"/>
  <c r="P15" i="17" s="1"/>
  <c r="P16" i="17" a="1"/>
  <c r="P16" i="17"/>
  <c r="P17" i="17" a="1"/>
  <c r="P17" i="17" s="1"/>
  <c r="P18" i="17" a="1"/>
  <c r="P18" i="17"/>
  <c r="P19" i="17" a="1"/>
  <c r="P19" i="17" s="1"/>
  <c r="P64" i="17" a="1"/>
  <c r="P64" i="17" s="1"/>
  <c r="P74" i="17" a="1"/>
  <c r="P74" i="17" s="1"/>
  <c r="P84" i="17" a="1"/>
  <c r="P84" i="17"/>
  <c r="P94" i="17" a="1"/>
  <c r="P94" i="17" s="1"/>
  <c r="P104" i="17" a="1"/>
  <c r="P104" i="17" s="1"/>
  <c r="P114" i="17" a="1"/>
  <c r="P114" i="17" s="1"/>
  <c r="P20" i="17" a="1"/>
  <c r="P20" i="17" s="1"/>
  <c r="P21" i="17" a="1"/>
  <c r="P21" i="17"/>
  <c r="P22" i="17" a="1"/>
  <c r="P22" i="17" s="1"/>
  <c r="P23" i="17" a="1"/>
  <c r="P23" i="17" s="1"/>
  <c r="P24" i="17" a="1"/>
  <c r="P24" i="17" s="1"/>
  <c r="P25" i="17" a="1"/>
  <c r="P25" i="17" s="1"/>
  <c r="P65" i="17" a="1"/>
  <c r="P65" i="17"/>
  <c r="P75" i="17" a="1"/>
  <c r="P75" i="17" s="1"/>
  <c r="P85" i="17" a="1"/>
  <c r="P85" i="17" s="1"/>
  <c r="P95" i="17" a="1"/>
  <c r="P95" i="17" s="1"/>
  <c r="P105" i="17" a="1"/>
  <c r="P105" i="17"/>
  <c r="P115" i="17" a="1"/>
  <c r="P115" i="17" s="1"/>
  <c r="P26" i="17" a="1"/>
  <c r="P26" i="17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66" i="17" a="1"/>
  <c r="P66" i="17" s="1"/>
  <c r="P76" i="17" a="1"/>
  <c r="P76" i="17" s="1"/>
  <c r="P86" i="17" a="1"/>
  <c r="P86" i="17" s="1"/>
  <c r="P96" i="17" a="1"/>
  <c r="P96" i="17" s="1"/>
  <c r="P106" i="17" a="1"/>
  <c r="P106" i="17"/>
  <c r="P116" i="17" a="1"/>
  <c r="P116" i="17" s="1"/>
  <c r="P32" i="17" a="1"/>
  <c r="P32" i="17" s="1"/>
  <c r="P33" i="17" a="1"/>
  <c r="P33" i="17" s="1"/>
  <c r="P34" i="17" a="1"/>
  <c r="P34" i="17"/>
  <c r="P35" i="17" a="1"/>
  <c r="P35" i="17" s="1"/>
  <c r="P36" i="17" a="1"/>
  <c r="P36" i="17"/>
  <c r="P37" i="17" a="1"/>
  <c r="P37" i="17" s="1"/>
  <c r="P67" i="17" a="1"/>
  <c r="P67" i="17"/>
  <c r="P77" i="17" a="1"/>
  <c r="P77" i="17" s="1"/>
  <c r="P87" i="17" a="1"/>
  <c r="P87" i="17" s="1"/>
  <c r="P97" i="17" a="1"/>
  <c r="P97" i="17" s="1"/>
  <c r="P107" i="17" a="1"/>
  <c r="P107" i="17" s="1"/>
  <c r="P117" i="17" a="1"/>
  <c r="P117" i="17" s="1"/>
  <c r="P38" i="17" a="1"/>
  <c r="P38" i="17"/>
  <c r="P39" i="17" a="1"/>
  <c r="P39" i="17"/>
  <c r="P40" i="17" a="1"/>
  <c r="P40" i="17" s="1"/>
  <c r="P41" i="17" a="1"/>
  <c r="P41" i="17" s="1"/>
  <c r="P42" i="17" a="1"/>
  <c r="P42" i="17" s="1"/>
  <c r="P43" i="17" a="1"/>
  <c r="P43" i="17" s="1"/>
  <c r="P68" i="17" a="1"/>
  <c r="P68" i="17"/>
  <c r="P78" i="17" a="1"/>
  <c r="P78" i="17" s="1"/>
  <c r="P88" i="17" a="1"/>
  <c r="P88" i="17" s="1"/>
  <c r="P98" i="17" a="1"/>
  <c r="P98" i="17" s="1"/>
  <c r="P108" i="17" a="1"/>
  <c r="P108" i="17" s="1"/>
  <c r="P118" i="17" a="1"/>
  <c r="P11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/>
  <c r="P49" i="17" a="1"/>
  <c r="P49" i="17" s="1"/>
  <c r="P69" i="17" a="1"/>
  <c r="P69" i="17" s="1"/>
  <c r="P79" i="17" a="1"/>
  <c r="P79" i="17" s="1"/>
  <c r="P89" i="17" a="1"/>
  <c r="P89" i="17" s="1"/>
  <c r="P99" i="17" a="1"/>
  <c r="P99" i="17" s="1"/>
  <c r="P109" i="17" a="1"/>
  <c r="P109" i="17" s="1"/>
  <c r="P119" i="17" a="1"/>
  <c r="P119" i="17" s="1"/>
  <c r="P50" i="17" a="1"/>
  <c r="P50" i="17" s="1"/>
  <c r="P51" i="17" a="1"/>
  <c r="P51" i="17"/>
  <c r="P52" i="17" a="1"/>
  <c r="P52" i="17" s="1"/>
  <c r="P53" i="17" a="1"/>
  <c r="P53" i="17" s="1"/>
  <c r="P54" i="17" a="1"/>
  <c r="P54" i="17" s="1"/>
  <c r="P55" i="17" a="1"/>
  <c r="P55" i="17" s="1"/>
  <c r="P70" i="17" a="1"/>
  <c r="P70" i="17" s="1"/>
  <c r="P80" i="17" a="1"/>
  <c r="P80" i="17" s="1"/>
  <c r="P90" i="17" a="1"/>
  <c r="P90" i="17" s="1"/>
  <c r="P100" i="17" a="1"/>
  <c r="P100" i="17"/>
  <c r="P110" i="17" a="1"/>
  <c r="P110" i="17" s="1"/>
  <c r="P120" i="17" a="1"/>
  <c r="P120" i="17" s="1"/>
  <c r="P56" i="17" a="1"/>
  <c r="P56" i="17"/>
  <c r="P57" i="17" a="1"/>
  <c r="P57" i="17" s="1"/>
  <c r="P58" i="17" a="1"/>
  <c r="P58" i="17" s="1"/>
  <c r="P59" i="17" a="1"/>
  <c r="P59" i="17" s="1"/>
  <c r="P60" i="17" a="1"/>
  <c r="P60" i="17" s="1"/>
  <c r="P61" i="17" a="1"/>
  <c r="P61" i="17"/>
  <c r="P71" i="17" a="1"/>
  <c r="P71" i="17"/>
  <c r="P81" i="17" a="1"/>
  <c r="P81" i="17" s="1"/>
  <c r="P91" i="17" a="1"/>
  <c r="P91" i="17" s="1"/>
  <c r="P101" i="17" a="1"/>
  <c r="P101" i="17" s="1"/>
  <c r="P111" i="17" a="1"/>
  <c r="P111" i="17" s="1"/>
  <c r="P121" i="17" a="1"/>
  <c r="P12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62" i="17" a="1"/>
  <c r="R62" i="17"/>
  <c r="R72" i="17" a="1"/>
  <c r="R72" i="17" s="1"/>
  <c r="R82" i="17" a="1"/>
  <c r="R82" i="17" s="1"/>
  <c r="R92" i="17" a="1"/>
  <c r="R92" i="17" s="1"/>
  <c r="R102" i="17" a="1"/>
  <c r="R102" i="17" s="1"/>
  <c r="R112" i="17" a="1"/>
  <c r="R112" i="17" s="1"/>
  <c r="R8" i="17" a="1"/>
  <c r="R8" i="17" s="1"/>
  <c r="R9" i="17" a="1"/>
  <c r="R9" i="17"/>
  <c r="R10" i="17" a="1"/>
  <c r="R10" i="17" s="1"/>
  <c r="R11" i="17" a="1"/>
  <c r="R11" i="17" s="1"/>
  <c r="R12" i="17" a="1"/>
  <c r="R12" i="17" s="1"/>
  <c r="R13" i="17" a="1"/>
  <c r="R13" i="17" s="1"/>
  <c r="R63" i="17" a="1"/>
  <c r="R63" i="17" s="1"/>
  <c r="R73" i="17" a="1"/>
  <c r="R73" i="17" s="1"/>
  <c r="R83" i="17" a="1"/>
  <c r="R83" i="17" s="1"/>
  <c r="R93" i="17" a="1"/>
  <c r="R93" i="17" s="1"/>
  <c r="R103" i="17" a="1"/>
  <c r="R103" i="17" s="1"/>
  <c r="R113" i="17" a="1"/>
  <c r="R11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/>
  <c r="R19" i="17" a="1"/>
  <c r="R19" i="17" s="1"/>
  <c r="R64" i="17" a="1"/>
  <c r="R64" i="17" s="1"/>
  <c r="R74" i="17" a="1"/>
  <c r="R74" i="17" s="1"/>
  <c r="R84" i="17" a="1"/>
  <c r="R84" i="17" s="1"/>
  <c r="R94" i="17" a="1"/>
  <c r="R94" i="17" s="1"/>
  <c r="R104" i="17" a="1"/>
  <c r="R104" i="17" s="1"/>
  <c r="R114" i="17" a="1"/>
  <c r="R114" i="17" s="1"/>
  <c r="R20" i="17" a="1"/>
  <c r="R20" i="17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65" i="17" a="1"/>
  <c r="R65" i="17" s="1"/>
  <c r="R75" i="17" a="1"/>
  <c r="R75" i="17" s="1"/>
  <c r="R85" i="17" a="1"/>
  <c r="R85" i="17" s="1"/>
  <c r="R95" i="17" a="1"/>
  <c r="R95" i="17" s="1"/>
  <c r="R105" i="17" a="1"/>
  <c r="R105" i="17"/>
  <c r="R115" i="17" a="1"/>
  <c r="R11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/>
  <c r="R31" i="17" a="1"/>
  <c r="R31" i="17"/>
  <c r="R66" i="17" a="1"/>
  <c r="R66" i="17" s="1"/>
  <c r="R76" i="17" a="1"/>
  <c r="R76" i="17" s="1"/>
  <c r="R86" i="17" a="1"/>
  <c r="R86" i="17" s="1"/>
  <c r="R96" i="17" a="1"/>
  <c r="R96" i="17" s="1"/>
  <c r="R106" i="17" a="1"/>
  <c r="R106" i="17" s="1"/>
  <c r="R116" i="17" a="1"/>
  <c r="R116" i="17" s="1"/>
  <c r="R32" i="17" a="1"/>
  <c r="R32" i="17"/>
  <c r="R33" i="17" a="1"/>
  <c r="R33" i="17" s="1"/>
  <c r="R34" i="17" a="1"/>
  <c r="R34" i="17"/>
  <c r="R35" i="17" a="1"/>
  <c r="R35" i="17" s="1"/>
  <c r="R36" i="17" a="1"/>
  <c r="R36" i="17" s="1"/>
  <c r="R37" i="17" a="1"/>
  <c r="R37" i="17" s="1"/>
  <c r="R67" i="17" a="1"/>
  <c r="R67" i="17" s="1"/>
  <c r="R77" i="17" a="1"/>
  <c r="R77" i="17" s="1"/>
  <c r="R87" i="17" a="1"/>
  <c r="R87" i="17" s="1"/>
  <c r="R97" i="17" a="1"/>
  <c r="R97" i="17"/>
  <c r="R107" i="17" a="1"/>
  <c r="R107" i="17" s="1"/>
  <c r="R117" i="17" a="1"/>
  <c r="R11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/>
  <c r="R68" i="17" a="1"/>
  <c r="R68" i="17" s="1"/>
  <c r="R78" i="17" a="1"/>
  <c r="R78" i="17" s="1"/>
  <c r="R88" i="17" a="1"/>
  <c r="R88" i="17" s="1"/>
  <c r="R98" i="17" a="1"/>
  <c r="R98" i="17" s="1"/>
  <c r="R108" i="17" a="1"/>
  <c r="R108" i="17" s="1"/>
  <c r="R118" i="17" a="1"/>
  <c r="R118" i="17" s="1"/>
  <c r="R44" i="17" a="1"/>
  <c r="R44" i="17" s="1"/>
  <c r="R45" i="17" a="1"/>
  <c r="R45" i="17" s="1"/>
  <c r="R46" i="17" a="1"/>
  <c r="R46" i="17"/>
  <c r="R47" i="17" a="1"/>
  <c r="R47" i="17" s="1"/>
  <c r="R48" i="17" a="1"/>
  <c r="R48" i="17" s="1"/>
  <c r="R49" i="17" a="1"/>
  <c r="R49" i="17" s="1"/>
  <c r="R69" i="17" a="1"/>
  <c r="R69" i="17" s="1"/>
  <c r="R79" i="17" a="1"/>
  <c r="R79" i="17" s="1"/>
  <c r="R89" i="17" a="1"/>
  <c r="R89" i="17"/>
  <c r="R99" i="17" a="1"/>
  <c r="R99" i="17" s="1"/>
  <c r="R109" i="17" a="1"/>
  <c r="R109" i="17"/>
  <c r="R119" i="17" a="1"/>
  <c r="R11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70" i="17" a="1"/>
  <c r="R70" i="17" s="1"/>
  <c r="R80" i="17" a="1"/>
  <c r="R80" i="17" s="1"/>
  <c r="R90" i="17" a="1"/>
  <c r="R90" i="17" s="1"/>
  <c r="R100" i="17" a="1"/>
  <c r="R100" i="17" s="1"/>
  <c r="R110" i="17" a="1"/>
  <c r="R110" i="17" s="1"/>
  <c r="R120" i="17" a="1"/>
  <c r="R120" i="17" s="1"/>
  <c r="R56" i="17" a="1"/>
  <c r="R56" i="17" s="1"/>
  <c r="R57" i="17" a="1"/>
  <c r="R57" i="17" s="1"/>
  <c r="R58" i="17" a="1"/>
  <c r="R58" i="17"/>
  <c r="R59" i="17" a="1"/>
  <c r="R59" i="17" s="1"/>
  <c r="R60" i="17" a="1"/>
  <c r="R60" i="17" s="1"/>
  <c r="R61" i="17" a="1"/>
  <c r="R61" i="17" s="1"/>
  <c r="R71" i="17" a="1"/>
  <c r="R71" i="17" s="1"/>
  <c r="R81" i="17" a="1"/>
  <c r="R81" i="17" s="1"/>
  <c r="R91" i="17" a="1"/>
  <c r="R91" i="17" s="1"/>
  <c r="R101" i="17" a="1"/>
  <c r="R101" i="17"/>
  <c r="R111" i="17" a="1"/>
  <c r="R111" i="17" s="1"/>
  <c r="R121" i="17" a="1"/>
  <c r="R121" i="17" s="1"/>
  <c r="S2" i="17" a="1"/>
  <c r="S2" i="17" s="1"/>
  <c r="S3" i="17" a="1"/>
  <c r="S3" i="17" s="1"/>
  <c r="S4" i="17" a="1"/>
  <c r="S4" i="17" s="1"/>
  <c r="S5" i="17" a="1"/>
  <c r="S5" i="17" s="1"/>
  <c r="S6" i="17" a="1"/>
  <c r="S6" i="17"/>
  <c r="S7" i="17" a="1"/>
  <c r="S7" i="17" s="1"/>
  <c r="S62" i="17" a="1"/>
  <c r="S62" i="17" s="1"/>
  <c r="S72" i="17" a="1"/>
  <c r="S72" i="17" s="1"/>
  <c r="S82" i="17" a="1"/>
  <c r="S82" i="17" s="1"/>
  <c r="S92" i="17" a="1"/>
  <c r="S92" i="17" s="1"/>
  <c r="S102" i="17" a="1"/>
  <c r="S102" i="17" s="1"/>
  <c r="S112" i="17" a="1"/>
  <c r="S11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63" i="17" a="1"/>
  <c r="S63" i="17" s="1"/>
  <c r="S73" i="17" a="1"/>
  <c r="S73" i="17" s="1"/>
  <c r="S83" i="17" a="1"/>
  <c r="S83" i="17"/>
  <c r="S93" i="17" a="1"/>
  <c r="S93" i="17" s="1"/>
  <c r="S103" i="17" a="1"/>
  <c r="S103" i="17" s="1"/>
  <c r="S113" i="17" a="1"/>
  <c r="S11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64" i="17" a="1"/>
  <c r="S64" i="17"/>
  <c r="S74" i="17" a="1"/>
  <c r="S74" i="17" s="1"/>
  <c r="S84" i="17" a="1"/>
  <c r="S84" i="17" s="1"/>
  <c r="S94" i="17" a="1"/>
  <c r="S94" i="17" s="1"/>
  <c r="S104" i="17" a="1"/>
  <c r="S104" i="17" s="1"/>
  <c r="S114" i="17" a="1"/>
  <c r="S114" i="17" s="1"/>
  <c r="S20" i="17" a="1"/>
  <c r="S20" i="17"/>
  <c r="S21" i="17" a="1"/>
  <c r="S21" i="17"/>
  <c r="S22" i="17" a="1"/>
  <c r="S22" i="17" s="1"/>
  <c r="S23" i="17" a="1"/>
  <c r="S23" i="17" s="1"/>
  <c r="S24" i="17" a="1"/>
  <c r="S24" i="17" s="1"/>
  <c r="S25" i="17" a="1"/>
  <c r="S25" i="17" s="1"/>
  <c r="S65" i="17" a="1"/>
  <c r="S65" i="17" s="1"/>
  <c r="S75" i="17" a="1"/>
  <c r="S75" i="17" s="1"/>
  <c r="S85" i="17" a="1"/>
  <c r="S85" i="17" s="1"/>
  <c r="S95" i="17" a="1"/>
  <c r="S95" i="17" s="1"/>
  <c r="S105" i="17" a="1"/>
  <c r="S105" i="17" s="1"/>
  <c r="S115" i="17" a="1"/>
  <c r="S11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/>
  <c r="S66" i="17" a="1"/>
  <c r="S66" i="17" s="1"/>
  <c r="S76" i="17" a="1"/>
  <c r="S76" i="17" s="1"/>
  <c r="S86" i="17" a="1"/>
  <c r="S86" i="17" s="1"/>
  <c r="S96" i="17" a="1"/>
  <c r="S96" i="17" s="1"/>
  <c r="S106" i="17" a="1"/>
  <c r="S106" i="17" s="1"/>
  <c r="S116" i="17" a="1"/>
  <c r="S116" i="17" s="1"/>
  <c r="S32" i="17" a="1"/>
  <c r="S32" i="17" s="1"/>
  <c r="S33" i="17" a="1"/>
  <c r="S33" i="17"/>
  <c r="S34" i="17" a="1"/>
  <c r="S34" i="17" s="1"/>
  <c r="S35" i="17" a="1"/>
  <c r="S35" i="17" s="1"/>
  <c r="S36" i="17" a="1"/>
  <c r="S36" i="17" s="1"/>
  <c r="S37" i="17" a="1"/>
  <c r="S37" i="17" s="1"/>
  <c r="S67" i="17" a="1"/>
  <c r="S67" i="17" s="1"/>
  <c r="S77" i="17" a="1"/>
  <c r="S77" i="17" s="1"/>
  <c r="S87" i="17" a="1"/>
  <c r="S87" i="17"/>
  <c r="S97" i="17" a="1"/>
  <c r="S97" i="17" s="1"/>
  <c r="S107" i="17" a="1"/>
  <c r="S107" i="17" s="1"/>
  <c r="S117" i="17" a="1"/>
  <c r="S11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68" i="17" a="1"/>
  <c r="S68" i="17"/>
  <c r="S78" i="17" a="1"/>
  <c r="S78" i="17" s="1"/>
  <c r="S88" i="17" a="1"/>
  <c r="S88" i="17" s="1"/>
  <c r="S98" i="17" a="1"/>
  <c r="S98" i="17" s="1"/>
  <c r="S108" i="17" a="1"/>
  <c r="S108" i="17" s="1"/>
  <c r="S118" i="17" a="1"/>
  <c r="S11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69" i="17" a="1"/>
  <c r="S69" i="17" s="1"/>
  <c r="S79" i="17" a="1"/>
  <c r="S79" i="17" s="1"/>
  <c r="S89" i="17" a="1"/>
  <c r="S89" i="17" s="1"/>
  <c r="S99" i="17" a="1"/>
  <c r="S99" i="17" s="1"/>
  <c r="S109" i="17" a="1"/>
  <c r="S109" i="17"/>
  <c r="S119" i="17" a="1"/>
  <c r="S11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/>
  <c r="S70" i="17" a="1"/>
  <c r="S70" i="17" s="1"/>
  <c r="S80" i="17" a="1"/>
  <c r="S80" i="17" s="1"/>
  <c r="S90" i="17" a="1"/>
  <c r="S90" i="17" s="1"/>
  <c r="S100" i="17" a="1"/>
  <c r="S100" i="17" s="1"/>
  <c r="S110" i="17" a="1"/>
  <c r="S110" i="17" s="1"/>
  <c r="S120" i="17" a="1"/>
  <c r="S120" i="17" s="1"/>
  <c r="S56" i="17" a="1"/>
  <c r="S56" i="17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71" i="17" a="1"/>
  <c r="S71" i="17" s="1"/>
  <c r="S81" i="17" a="1"/>
  <c r="S81" i="17" s="1"/>
  <c r="S91" i="17" a="1"/>
  <c r="S91" i="17" s="1"/>
  <c r="S101" i="17" a="1"/>
  <c r="S101" i="17" s="1"/>
  <c r="S111" i="17" a="1"/>
  <c r="S111" i="17" s="1"/>
  <c r="S121" i="17" a="1"/>
  <c r="S121" i="17" s="1"/>
  <c r="T2" i="17" a="1"/>
  <c r="T2" i="17" s="1"/>
  <c r="T3" i="17" a="1"/>
  <c r="T3" i="17" s="1"/>
  <c r="T4" i="17" a="1"/>
  <c r="T4" i="17" s="1"/>
  <c r="T5" i="17" a="1"/>
  <c r="T5" i="17" s="1"/>
  <c r="T6" i="17" a="1"/>
  <c r="T6" i="17"/>
  <c r="T7" i="17" a="1"/>
  <c r="T7" i="17" s="1"/>
  <c r="T62" i="17" a="1"/>
  <c r="T62" i="17" s="1"/>
  <c r="T72" i="17" a="1"/>
  <c r="T72" i="17" s="1"/>
  <c r="T82" i="17" a="1"/>
  <c r="T82" i="17" s="1"/>
  <c r="T92" i="17" a="1"/>
  <c r="T92" i="17" s="1"/>
  <c r="T102" i="17" a="1"/>
  <c r="T102" i="17" s="1"/>
  <c r="T112" i="17" a="1"/>
  <c r="T112" i="17" s="1"/>
  <c r="T8" i="17" a="1"/>
  <c r="T8" i="17" s="1"/>
  <c r="T9" i="17" a="1"/>
  <c r="T9" i="17" s="1"/>
  <c r="T10" i="17" a="1"/>
  <c r="T10" i="17"/>
  <c r="T11" i="17" a="1"/>
  <c r="T11" i="17" s="1"/>
  <c r="T12" i="17" a="1"/>
  <c r="T12" i="17" s="1"/>
  <c r="T13" i="17" a="1"/>
  <c r="T13" i="17" s="1"/>
  <c r="T63" i="17" a="1"/>
  <c r="T63" i="17" s="1"/>
  <c r="T73" i="17" a="1"/>
  <c r="T73" i="17" s="1"/>
  <c r="T83" i="17" a="1"/>
  <c r="T83" i="17" s="1"/>
  <c r="T93" i="17" a="1"/>
  <c r="T93" i="17"/>
  <c r="T103" i="17" a="1"/>
  <c r="T103" i="17" s="1"/>
  <c r="T113" i="17" a="1"/>
  <c r="T11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/>
  <c r="T64" i="17" a="1"/>
  <c r="T64" i="17" s="1"/>
  <c r="T74" i="17" a="1"/>
  <c r="T74" i="17" s="1"/>
  <c r="T84" i="17" a="1"/>
  <c r="T84" i="17" s="1"/>
  <c r="T94" i="17" a="1"/>
  <c r="T94" i="17" s="1"/>
  <c r="T104" i="17" a="1"/>
  <c r="T104" i="17" s="1"/>
  <c r="T114" i="17" a="1"/>
  <c r="T11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65" i="17" a="1"/>
  <c r="T65" i="17" s="1"/>
  <c r="T75" i="17" a="1"/>
  <c r="T75" i="17" s="1"/>
  <c r="T85" i="17" a="1"/>
  <c r="T85" i="17" s="1"/>
  <c r="T95" i="17" a="1"/>
  <c r="T95" i="17"/>
  <c r="T105" i="17" a="1"/>
  <c r="T105" i="17"/>
  <c r="T115" i="17" a="1"/>
  <c r="T11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/>
  <c r="T31" i="17" a="1"/>
  <c r="T31" i="17" s="1"/>
  <c r="T66" i="17" a="1"/>
  <c r="T66" i="17" s="1"/>
  <c r="T76" i="17" a="1"/>
  <c r="T76" i="17" s="1"/>
  <c r="T86" i="17" a="1"/>
  <c r="T86" i="17" s="1"/>
  <c r="T96" i="17" a="1"/>
  <c r="T96" i="17" s="1"/>
  <c r="T106" i="17" a="1"/>
  <c r="T106" i="17" s="1"/>
  <c r="T116" i="17" a="1"/>
  <c r="T116" i="17" s="1"/>
  <c r="T32" i="17" a="1"/>
  <c r="T32" i="17" s="1"/>
  <c r="T33" i="17" a="1"/>
  <c r="T33" i="17" s="1"/>
  <c r="T34" i="17" a="1"/>
  <c r="T34" i="17"/>
  <c r="T35" i="17" a="1"/>
  <c r="T35" i="17" s="1"/>
  <c r="T36" i="17" a="1"/>
  <c r="T36" i="17" s="1"/>
  <c r="T37" i="17" a="1"/>
  <c r="T37" i="17" s="1"/>
  <c r="T67" i="17" a="1"/>
  <c r="T67" i="17" s="1"/>
  <c r="T77" i="17" a="1"/>
  <c r="T77" i="17" s="1"/>
  <c r="T87" i="17" a="1"/>
  <c r="T87" i="17" s="1"/>
  <c r="T97" i="17" a="1"/>
  <c r="T97" i="17" s="1"/>
  <c r="T107" i="17" a="1"/>
  <c r="T107" i="17" s="1"/>
  <c r="T117" i="17" a="1"/>
  <c r="T11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68" i="17" a="1"/>
  <c r="T68" i="17"/>
  <c r="T78" i="17" a="1"/>
  <c r="T78" i="17" s="1"/>
  <c r="T88" i="17" a="1"/>
  <c r="T88" i="17" s="1"/>
  <c r="T98" i="17" a="1"/>
  <c r="T98" i="17" s="1"/>
  <c r="T108" i="17" a="1"/>
  <c r="T108" i="17" s="1"/>
  <c r="T118" i="17" a="1"/>
  <c r="T118" i="17" s="1"/>
  <c r="T44" i="17" a="1"/>
  <c r="T44" i="17" s="1"/>
  <c r="T45" i="17" a="1"/>
  <c r="T45" i="17"/>
  <c r="T46" i="17" a="1"/>
  <c r="T46" i="17" s="1"/>
  <c r="T47" i="17" a="1"/>
  <c r="T47" i="17" s="1"/>
  <c r="T48" i="17" a="1"/>
  <c r="T48" i="17" s="1"/>
  <c r="T49" i="17" a="1"/>
  <c r="T49" i="17" s="1"/>
  <c r="T69" i="17" a="1"/>
  <c r="T69" i="17" s="1"/>
  <c r="T79" i="17" a="1"/>
  <c r="T79" i="17" s="1"/>
  <c r="T89" i="17" a="1"/>
  <c r="T89" i="17"/>
  <c r="T99" i="17" a="1"/>
  <c r="T99" i="17" s="1"/>
  <c r="T109" i="17" a="1"/>
  <c r="T109" i="17" s="1"/>
  <c r="T119" i="17" a="1"/>
  <c r="T11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70" i="17" a="1"/>
  <c r="T70" i="17" s="1"/>
  <c r="T80" i="17" a="1"/>
  <c r="T80" i="17" s="1"/>
  <c r="T90" i="17" a="1"/>
  <c r="T90" i="17" s="1"/>
  <c r="T100" i="17" a="1"/>
  <c r="T100" i="17" s="1"/>
  <c r="T110" i="17" a="1"/>
  <c r="T110" i="17" s="1"/>
  <c r="T120" i="17" a="1"/>
  <c r="T120" i="17" s="1"/>
  <c r="T56" i="17" a="1"/>
  <c r="T56" i="17"/>
  <c r="T57" i="17" a="1"/>
  <c r="T57" i="17" s="1"/>
  <c r="T58" i="17" a="1"/>
  <c r="T58" i="17"/>
  <c r="T59" i="17" a="1"/>
  <c r="T59" i="17" s="1"/>
  <c r="T60" i="17" a="1"/>
  <c r="T60" i="17" s="1"/>
  <c r="T61" i="17" a="1"/>
  <c r="T61" i="17" s="1"/>
  <c r="T71" i="17" a="1"/>
  <c r="T71" i="17" s="1"/>
  <c r="T81" i="17" a="1"/>
  <c r="T81" i="17" s="1"/>
  <c r="T91" i="17" a="1"/>
  <c r="T91" i="17"/>
  <c r="T101" i="17" a="1"/>
  <c r="T101" i="17" s="1"/>
  <c r="T111" i="17" a="1"/>
  <c r="T111" i="17" s="1"/>
  <c r="T121" i="17" a="1"/>
  <c r="T12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/>
  <c r="U62" i="17" a="1"/>
  <c r="U62" i="17" s="1"/>
  <c r="U72" i="17" a="1"/>
  <c r="U72" i="17" s="1"/>
  <c r="U82" i="17" a="1"/>
  <c r="U82" i="17" s="1"/>
  <c r="U92" i="17" a="1"/>
  <c r="U92" i="17" s="1"/>
  <c r="U102" i="17" a="1"/>
  <c r="U102" i="17"/>
  <c r="U112" i="17" a="1"/>
  <c r="U112" i="17" s="1"/>
  <c r="U8" i="17" a="1"/>
  <c r="U8" i="17" s="1"/>
  <c r="U9" i="17" a="1"/>
  <c r="U9" i="17" s="1"/>
  <c r="U10" i="17" a="1"/>
  <c r="U10" i="17"/>
  <c r="U11" i="17" a="1"/>
  <c r="U11" i="17" s="1"/>
  <c r="U12" i="17" a="1"/>
  <c r="U12" i="17" s="1"/>
  <c r="U13" i="17" a="1"/>
  <c r="U13" i="17" s="1"/>
  <c r="U63" i="17" a="1"/>
  <c r="U63" i="17" s="1"/>
  <c r="U73" i="17" a="1"/>
  <c r="U73" i="17" s="1"/>
  <c r="U83" i="17" a="1"/>
  <c r="U83" i="17" s="1"/>
  <c r="U93" i="17" a="1"/>
  <c r="U93" i="17" s="1"/>
  <c r="U103" i="17" a="1"/>
  <c r="U103" i="17" s="1"/>
  <c r="U113" i="17" a="1"/>
  <c r="U11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64" i="17" a="1"/>
  <c r="U64" i="17" s="1"/>
  <c r="U74" i="17" a="1"/>
  <c r="U74" i="17" s="1"/>
  <c r="U84" i="17" a="1"/>
  <c r="U84" i="17" s="1"/>
  <c r="U94" i="17" a="1"/>
  <c r="U94" i="17" s="1"/>
  <c r="U104" i="17" a="1"/>
  <c r="U104" i="17" s="1"/>
  <c r="U114" i="17" a="1"/>
  <c r="U11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65" i="17" a="1"/>
  <c r="U65" i="17" s="1"/>
  <c r="U75" i="17" a="1"/>
  <c r="U75" i="17" s="1"/>
  <c r="U85" i="17" a="1"/>
  <c r="U85" i="17" s="1"/>
  <c r="U95" i="17" a="1"/>
  <c r="U95" i="17" s="1"/>
  <c r="U105" i="17" a="1"/>
  <c r="U105" i="17" s="1"/>
  <c r="U115" i="17" a="1"/>
  <c r="U11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66" i="17" a="1"/>
  <c r="U66" i="17" s="1"/>
  <c r="U76" i="17" a="1"/>
  <c r="U76" i="17" s="1"/>
  <c r="U86" i="17" a="1"/>
  <c r="U86" i="17" s="1"/>
  <c r="U96" i="17" a="1"/>
  <c r="U96" i="17" s="1"/>
  <c r="U106" i="17" a="1"/>
  <c r="U106" i="17" s="1"/>
  <c r="U116" i="17" a="1"/>
  <c r="U116" i="17" s="1"/>
  <c r="U32" i="17" a="1"/>
  <c r="U32" i="17" s="1"/>
  <c r="U33" i="17" a="1"/>
  <c r="U33" i="17"/>
  <c r="U34" i="17" a="1"/>
  <c r="U34" i="17" s="1"/>
  <c r="U35" i="17" a="1"/>
  <c r="U35" i="17" s="1"/>
  <c r="U36" i="17" a="1"/>
  <c r="U36" i="17" s="1"/>
  <c r="U37" i="17" a="1"/>
  <c r="U37" i="17" s="1"/>
  <c r="U67" i="17" a="1"/>
  <c r="U67" i="17" s="1"/>
  <c r="U77" i="17" a="1"/>
  <c r="U77" i="17" s="1"/>
  <c r="U87" i="17" a="1"/>
  <c r="U87" i="17" s="1"/>
  <c r="U97" i="17" a="1"/>
  <c r="U97" i="17" s="1"/>
  <c r="U107" i="17" a="1"/>
  <c r="U107" i="17" s="1"/>
  <c r="U117" i="17" a="1"/>
  <c r="U117" i="17" s="1"/>
  <c r="U38" i="17" a="1"/>
  <c r="U38" i="17" s="1"/>
  <c r="U39" i="17" a="1"/>
  <c r="U39" i="17" s="1"/>
  <c r="U40" i="17" a="1"/>
  <c r="U40" i="17" s="1"/>
  <c r="U41" i="17" a="1"/>
  <c r="U41" i="17"/>
  <c r="U42" i="17" a="1"/>
  <c r="U42" i="17" s="1"/>
  <c r="U43" i="17" a="1"/>
  <c r="U43" i="17" s="1"/>
  <c r="U68" i="17" a="1"/>
  <c r="U68" i="17" s="1"/>
  <c r="U78" i="17" a="1"/>
  <c r="U78" i="17" s="1"/>
  <c r="U88" i="17" a="1"/>
  <c r="U88" i="17" s="1"/>
  <c r="U98" i="17" a="1"/>
  <c r="U98" i="17" s="1"/>
  <c r="U108" i="17" a="1"/>
  <c r="U108" i="17" s="1"/>
  <c r="U118" i="17" a="1"/>
  <c r="U11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/>
  <c r="U69" i="17" a="1"/>
  <c r="U69" i="17" s="1"/>
  <c r="U79" i="17" a="1"/>
  <c r="U79" i="17" s="1"/>
  <c r="U89" i="17" a="1"/>
  <c r="U89" i="17" s="1"/>
  <c r="U99" i="17" a="1"/>
  <c r="U99" i="17" s="1"/>
  <c r="U109" i="17" a="1"/>
  <c r="U109" i="17" s="1"/>
  <c r="U119" i="17" a="1"/>
  <c r="U11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70" i="17" a="1"/>
  <c r="U70" i="17" s="1"/>
  <c r="U80" i="17" a="1"/>
  <c r="U80" i="17"/>
  <c r="U90" i="17" a="1"/>
  <c r="U90" i="17" s="1"/>
  <c r="U100" i="17" a="1"/>
  <c r="U100" i="17" s="1"/>
  <c r="U110" i="17" a="1"/>
  <c r="U110" i="17" s="1"/>
  <c r="U120" i="17" a="1"/>
  <c r="U12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71" i="17" a="1"/>
  <c r="U71" i="17" s="1"/>
  <c r="U81" i="17" a="1"/>
  <c r="U81" i="17" s="1"/>
  <c r="U91" i="17" a="1"/>
  <c r="U91" i="17" s="1"/>
  <c r="U101" i="17" a="1"/>
  <c r="U101" i="17" s="1"/>
  <c r="U111" i="17" a="1"/>
  <c r="U111" i="17" s="1"/>
  <c r="U121" i="17" a="1"/>
  <c r="U12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62" i="17" a="1"/>
  <c r="V62" i="17" s="1"/>
  <c r="V72" i="17" a="1"/>
  <c r="V72" i="17" s="1"/>
  <c r="V82" i="17" a="1"/>
  <c r="V82" i="17" s="1"/>
  <c r="V92" i="17" a="1"/>
  <c r="V92" i="17" s="1"/>
  <c r="V102" i="17" a="1"/>
  <c r="V102" i="17" s="1"/>
  <c r="V112" i="17" a="1"/>
  <c r="V11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63" i="17" a="1"/>
  <c r="V63" i="17" s="1"/>
  <c r="V73" i="17" a="1"/>
  <c r="V73" i="17" s="1"/>
  <c r="V83" i="17" a="1"/>
  <c r="V83" i="17" s="1"/>
  <c r="V93" i="17" a="1"/>
  <c r="V93" i="17" s="1"/>
  <c r="V103" i="17" a="1"/>
  <c r="V103" i="17" s="1"/>
  <c r="V113" i="17" a="1"/>
  <c r="V11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64" i="17" a="1"/>
  <c r="V64" i="17" s="1"/>
  <c r="V74" i="17" a="1"/>
  <c r="V74" i="17" s="1"/>
  <c r="V84" i="17" a="1"/>
  <c r="V84" i="17" s="1"/>
  <c r="V94" i="17" a="1"/>
  <c r="V94" i="17" s="1"/>
  <c r="V104" i="17" a="1"/>
  <c r="V104" i="17" s="1"/>
  <c r="V114" i="17" a="1"/>
  <c r="V114" i="17" s="1"/>
  <c r="V20" i="17" a="1"/>
  <c r="V20" i="17" s="1"/>
  <c r="V21" i="17" a="1"/>
  <c r="V21" i="17"/>
  <c r="V22" i="17" a="1"/>
  <c r="V22" i="17" s="1"/>
  <c r="V23" i="17" a="1"/>
  <c r="V23" i="17" s="1"/>
  <c r="V24" i="17" a="1"/>
  <c r="V24" i="17" s="1"/>
  <c r="V25" i="17" a="1"/>
  <c r="V25" i="17" s="1"/>
  <c r="V65" i="17" a="1"/>
  <c r="V65" i="17" s="1"/>
  <c r="V75" i="17" a="1"/>
  <c r="V75" i="17" s="1"/>
  <c r="V85" i="17" a="1"/>
  <c r="V85" i="17" s="1"/>
  <c r="V95" i="17" a="1"/>
  <c r="V95" i="17" s="1"/>
  <c r="V105" i="17" a="1"/>
  <c r="V105" i="17" s="1"/>
  <c r="V115" i="17" a="1"/>
  <c r="V115" i="17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66" i="17" a="1"/>
  <c r="V66" i="17" s="1"/>
  <c r="V76" i="17" a="1"/>
  <c r="V76" i="17" s="1"/>
  <c r="V86" i="17" a="1"/>
  <c r="V86" i="17" s="1"/>
  <c r="V96" i="17" a="1"/>
  <c r="V96" i="17" s="1"/>
  <c r="V106" i="17" a="1"/>
  <c r="V106" i="17" s="1"/>
  <c r="V116" i="17" a="1"/>
  <c r="V11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67" i="17" a="1"/>
  <c r="V67" i="17" s="1"/>
  <c r="V77" i="17" a="1"/>
  <c r="V77" i="17" s="1"/>
  <c r="V87" i="17" a="1"/>
  <c r="V87" i="17" s="1"/>
  <c r="V97" i="17" a="1"/>
  <c r="V97" i="17" s="1"/>
  <c r="V107" i="17" a="1"/>
  <c r="V107" i="17" s="1"/>
  <c r="V117" i="17" a="1"/>
  <c r="V11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68" i="17" a="1"/>
  <c r="V68" i="17" s="1"/>
  <c r="V78" i="17" a="1"/>
  <c r="V78" i="17"/>
  <c r="V88" i="17" a="1"/>
  <c r="V88" i="17" s="1"/>
  <c r="V98" i="17" a="1"/>
  <c r="V98" i="17" s="1"/>
  <c r="V108" i="17" a="1"/>
  <c r="V108" i="17" s="1"/>
  <c r="V118" i="17" a="1"/>
  <c r="V11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69" i="17" a="1"/>
  <c r="V69" i="17" s="1"/>
  <c r="V79" i="17" a="1"/>
  <c r="V79" i="17" s="1"/>
  <c r="V89" i="17" a="1"/>
  <c r="V89" i="17" s="1"/>
  <c r="V99" i="17" a="1"/>
  <c r="V99" i="17" s="1"/>
  <c r="V109" i="17" a="1"/>
  <c r="V109" i="17" s="1"/>
  <c r="V119" i="17" a="1"/>
  <c r="V11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70" i="17" a="1"/>
  <c r="V70" i="17" s="1"/>
  <c r="V80" i="17" a="1"/>
  <c r="V80" i="17" s="1"/>
  <c r="V90" i="17" a="1"/>
  <c r="V90" i="17" s="1"/>
  <c r="V100" i="17" a="1"/>
  <c r="V100" i="17" s="1"/>
  <c r="V110" i="17" a="1"/>
  <c r="V110" i="17" s="1"/>
  <c r="V120" i="17" a="1"/>
  <c r="V12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71" i="17" a="1"/>
  <c r="V71" i="17" s="1"/>
  <c r="V81" i="17" a="1"/>
  <c r="V81" i="17" s="1"/>
  <c r="V91" i="17" a="1"/>
  <c r="V91" i="17" s="1"/>
  <c r="V101" i="17" a="1"/>
  <c r="V101" i="17" s="1"/>
  <c r="V111" i="17" a="1"/>
  <c r="V111" i="17" s="1"/>
  <c r="V121" i="17" a="1"/>
  <c r="V121" i="17" s="1"/>
  <c r="X2" i="17" a="1"/>
  <c r="X2" i="17" s="1"/>
  <c r="X3" i="17" a="1"/>
  <c r="X3" i="17" s="1"/>
  <c r="Y3" i="17" s="1"/>
  <c r="X4" i="17" a="1"/>
  <c r="X4" i="17" s="1"/>
  <c r="X5" i="17" a="1"/>
  <c r="X5" i="17" s="1"/>
  <c r="Y5" i="17" s="1"/>
  <c r="Q5" i="17" s="1"/>
  <c r="W5" i="17" s="1"/>
  <c r="X6" i="17" a="1"/>
  <c r="X6" i="17" s="1"/>
  <c r="X7" i="17" a="1"/>
  <c r="X7" i="17" s="1"/>
  <c r="Y7" i="17" s="1"/>
  <c r="X62" i="17" a="1"/>
  <c r="X62" i="17" s="1"/>
  <c r="X72" i="17" a="1"/>
  <c r="X72" i="17" s="1"/>
  <c r="Y72" i="17" s="1"/>
  <c r="X82" i="17" a="1"/>
  <c r="X82" i="17" s="1"/>
  <c r="X92" i="17" a="1"/>
  <c r="X92" i="17" s="1"/>
  <c r="Y92" i="17" s="1"/>
  <c r="X102" i="17" a="1"/>
  <c r="X102" i="17" s="1"/>
  <c r="X112" i="17" a="1"/>
  <c r="X112" i="17"/>
  <c r="X8" i="17" a="1"/>
  <c r="X8" i="17" s="1"/>
  <c r="X9" i="17" a="1"/>
  <c r="X9" i="17" s="1"/>
  <c r="Y9" i="17" s="1"/>
  <c r="Q9" i="17" s="1"/>
  <c r="W9" i="17" s="1"/>
  <c r="X10" i="17" a="1"/>
  <c r="X10" i="17" s="1"/>
  <c r="X11" i="17" a="1"/>
  <c r="X11" i="17" s="1"/>
  <c r="Y11" i="17" s="1"/>
  <c r="X12" i="17" a="1"/>
  <c r="X12" i="17" s="1"/>
  <c r="X13" i="17" a="1"/>
  <c r="X13" i="17" s="1"/>
  <c r="Y13" i="17" s="1"/>
  <c r="X63" i="17" a="1"/>
  <c r="X63" i="17"/>
  <c r="X73" i="17" a="1"/>
  <c r="X73" i="17" s="1"/>
  <c r="Y73" i="17" s="1"/>
  <c r="X83" i="17" a="1"/>
  <c r="X83" i="17" s="1"/>
  <c r="X93" i="17" a="1"/>
  <c r="X93" i="17" s="1"/>
  <c r="Y93" i="17" s="1"/>
  <c r="X103" i="17" a="1"/>
  <c r="X103" i="17" s="1"/>
  <c r="X113" i="17" a="1"/>
  <c r="X113" i="17" s="1"/>
  <c r="Y113" i="17" s="1"/>
  <c r="X14" i="17" a="1"/>
  <c r="X14" i="17" s="1"/>
  <c r="X15" i="17" a="1"/>
  <c r="X15" i="17" s="1"/>
  <c r="Y15" i="17" s="1"/>
  <c r="X16" i="17" a="1"/>
  <c r="X16" i="17" s="1"/>
  <c r="X17" i="17" a="1"/>
  <c r="X17" i="17" s="1"/>
  <c r="Y17" i="17" s="1"/>
  <c r="Q17" i="17" s="1"/>
  <c r="W17" i="17" s="1"/>
  <c r="X18" i="17" a="1"/>
  <c r="X18" i="17" s="1"/>
  <c r="X19" i="17" a="1"/>
  <c r="X19" i="17" s="1"/>
  <c r="Y19" i="17" s="1"/>
  <c r="X64" i="17" a="1"/>
  <c r="X64" i="17" s="1"/>
  <c r="X74" i="17" a="1"/>
  <c r="X74" i="17" s="1"/>
  <c r="Y74" i="17" s="1"/>
  <c r="X84" i="17" a="1"/>
  <c r="X84" i="17" s="1"/>
  <c r="Y84" i="17" s="1"/>
  <c r="X94" i="17" a="1"/>
  <c r="X94" i="17" s="1"/>
  <c r="Y94" i="17" s="1"/>
  <c r="X104" i="17" a="1"/>
  <c r="X104" i="17" s="1"/>
  <c r="Y104" i="17" s="1"/>
  <c r="X114" i="17" a="1"/>
  <c r="X114" i="17" s="1"/>
  <c r="Y114" i="17" s="1"/>
  <c r="Q114" i="17" s="1"/>
  <c r="W114" i="17" s="1"/>
  <c r="X20" i="17" a="1"/>
  <c r="X20" i="17" s="1"/>
  <c r="X21" i="17" a="1"/>
  <c r="X21" i="17" s="1"/>
  <c r="Y21" i="17" s="1"/>
  <c r="Q21" i="17" s="1"/>
  <c r="W21" i="17" s="1"/>
  <c r="X22" i="17" a="1"/>
  <c r="X22" i="17" s="1"/>
  <c r="Y22" i="17" s="1"/>
  <c r="X23" i="17" a="1"/>
  <c r="X23" i="17" s="1"/>
  <c r="Y23" i="17" s="1"/>
  <c r="Q23" i="17" s="1"/>
  <c r="W23" i="17" s="1"/>
  <c r="X24" i="17" a="1"/>
  <c r="X24" i="17" s="1"/>
  <c r="X25" i="17" a="1"/>
  <c r="X25" i="17" s="1"/>
  <c r="Y25" i="17" s="1"/>
  <c r="Q25" i="17" s="1"/>
  <c r="W25" i="17" s="1"/>
  <c r="X65" i="17" a="1"/>
  <c r="X65" i="17" s="1"/>
  <c r="X75" i="17" a="1"/>
  <c r="X75" i="17" s="1"/>
  <c r="Y75" i="17" s="1"/>
  <c r="Q75" i="17" s="1"/>
  <c r="W75" i="17" s="1"/>
  <c r="X85" i="17" a="1"/>
  <c r="X85" i="17" s="1"/>
  <c r="X95" i="17" a="1"/>
  <c r="X95" i="17" s="1"/>
  <c r="Y95" i="17" s="1"/>
  <c r="Q95" i="17" s="1"/>
  <c r="W95" i="17" s="1"/>
  <c r="X105" i="17" a="1"/>
  <c r="X105" i="17" s="1"/>
  <c r="X115" i="17" a="1"/>
  <c r="X115" i="17" s="1"/>
  <c r="Y115" i="17" s="1"/>
  <c r="X26" i="17" a="1"/>
  <c r="X26" i="17" s="1"/>
  <c r="X27" i="17" a="1"/>
  <c r="X27" i="17" s="1"/>
  <c r="Y27" i="17" s="1"/>
  <c r="X28" i="17" a="1"/>
  <c r="X28" i="17" s="1"/>
  <c r="X29" i="17" a="1"/>
  <c r="X29" i="17" s="1"/>
  <c r="Y29" i="17" s="1"/>
  <c r="Q29" i="17" s="1"/>
  <c r="W29" i="17" s="1"/>
  <c r="X30" i="17" a="1"/>
  <c r="X30" i="17" s="1"/>
  <c r="X31" i="17" a="1"/>
  <c r="X31" i="17" s="1"/>
  <c r="Y31" i="17" s="1"/>
  <c r="X66" i="17" a="1"/>
  <c r="X66" i="17" s="1"/>
  <c r="Y66" i="17" s="1"/>
  <c r="X76" i="17" a="1"/>
  <c r="X76" i="17" s="1"/>
  <c r="Y76" i="17" s="1"/>
  <c r="Q76" i="17" s="1"/>
  <c r="W76" i="17" s="1"/>
  <c r="X86" i="17" a="1"/>
  <c r="X86" i="17" s="1"/>
  <c r="Y86" i="17" s="1"/>
  <c r="X96" i="17" a="1"/>
  <c r="X96" i="17" s="1"/>
  <c r="Y96" i="17" s="1"/>
  <c r="Q96" i="17" s="1"/>
  <c r="W96" i="17" s="1"/>
  <c r="X106" i="17" a="1"/>
  <c r="X106" i="17" s="1"/>
  <c r="X116" i="17" a="1"/>
  <c r="X116" i="17"/>
  <c r="Y116" i="17" s="1"/>
  <c r="Q116" i="17" s="1"/>
  <c r="W116" i="17" s="1"/>
  <c r="X32" i="17" a="1"/>
  <c r="X32" i="17" s="1"/>
  <c r="X33" i="17" a="1"/>
  <c r="X33" i="17" s="1"/>
  <c r="Y33" i="17" s="1"/>
  <c r="Q33" i="17" s="1"/>
  <c r="W33" i="17" s="1"/>
  <c r="X34" i="17" a="1"/>
  <c r="X34" i="17" s="1"/>
  <c r="Y34" i="17" s="1"/>
  <c r="Q34" i="17" s="1"/>
  <c r="W34" i="17" s="1"/>
  <c r="X35" i="17" a="1"/>
  <c r="X35" i="17" s="1"/>
  <c r="Y35" i="17" s="1"/>
  <c r="X36" i="17" a="1"/>
  <c r="X36" i="17" s="1"/>
  <c r="X37" i="17" a="1"/>
  <c r="X37" i="17" s="1"/>
  <c r="Y37" i="17" s="1"/>
  <c r="X67" i="17" a="1"/>
  <c r="X67" i="17" s="1"/>
  <c r="Y67" i="17" s="1"/>
  <c r="Q67" i="17" s="1"/>
  <c r="W67" i="17" s="1"/>
  <c r="X77" i="17" a="1"/>
  <c r="X77" i="17" s="1"/>
  <c r="Y77" i="17" s="1"/>
  <c r="Q77" i="17" s="1"/>
  <c r="W77" i="17" s="1"/>
  <c r="X87" i="17" a="1"/>
  <c r="X87" i="17" s="1"/>
  <c r="Y87" i="17" s="1"/>
  <c r="Q87" i="17" s="1"/>
  <c r="W87" i="17" s="1"/>
  <c r="X97" i="17" a="1"/>
  <c r="X97" i="17" s="1"/>
  <c r="Y97" i="17" s="1"/>
  <c r="X107" i="17" a="1"/>
  <c r="X107" i="17" s="1"/>
  <c r="Y107" i="17" s="1"/>
  <c r="X117" i="17" a="1"/>
  <c r="X117" i="17" s="1"/>
  <c r="Y117" i="17" s="1"/>
  <c r="Q117" i="17" s="1"/>
  <c r="W117" i="17" s="1"/>
  <c r="X38" i="17" a="1"/>
  <c r="X38" i="17" s="1"/>
  <c r="X39" i="17" a="1"/>
  <c r="X39" i="17" s="1"/>
  <c r="Y39" i="17" s="1"/>
  <c r="Q39" i="17" s="1"/>
  <c r="W39" i="17" s="1"/>
  <c r="X40" i="17" a="1"/>
  <c r="X40" i="17"/>
  <c r="X41" i="17" a="1"/>
  <c r="X41" i="17" s="1"/>
  <c r="Y41" i="17" s="1"/>
  <c r="X42" i="17" a="1"/>
  <c r="X42" i="17" s="1"/>
  <c r="X43" i="17" a="1"/>
  <c r="X43" i="17" s="1"/>
  <c r="Y43" i="17" s="1"/>
  <c r="Q43" i="17" s="1"/>
  <c r="W43" i="17" s="1"/>
  <c r="X68" i="17" a="1"/>
  <c r="X68" i="17" s="1"/>
  <c r="X78" i="17" a="1"/>
  <c r="X78" i="17" s="1"/>
  <c r="Y78" i="17" s="1"/>
  <c r="X88" i="17" a="1"/>
  <c r="X88" i="17" s="1"/>
  <c r="X98" i="17" a="1"/>
  <c r="X98" i="17" s="1"/>
  <c r="Y98" i="17" s="1"/>
  <c r="X108" i="17" a="1"/>
  <c r="X108" i="17" s="1"/>
  <c r="X118" i="17" a="1"/>
  <c r="X118" i="17" s="1"/>
  <c r="Y118" i="17" s="1"/>
  <c r="Q118" i="17" s="1"/>
  <c r="W118" i="17" s="1"/>
  <c r="X44" i="17" a="1"/>
  <c r="X44" i="17" s="1"/>
  <c r="Y44" i="17" s="1"/>
  <c r="Q44" i="17" s="1"/>
  <c r="W44" i="17" s="1"/>
  <c r="X45" i="17" a="1"/>
  <c r="X45" i="17" s="1"/>
  <c r="Y45" i="17" s="1"/>
  <c r="X46" i="17" a="1"/>
  <c r="X46" i="17" s="1"/>
  <c r="Y46" i="17" s="1"/>
  <c r="X47" i="17" a="1"/>
  <c r="X47" i="17" s="1"/>
  <c r="Y47" i="17" s="1"/>
  <c r="X48" i="17" a="1"/>
  <c r="X48" i="17" s="1"/>
  <c r="X49" i="17" a="1"/>
  <c r="X49" i="17" s="1"/>
  <c r="Y49" i="17" s="1"/>
  <c r="X69" i="17" a="1"/>
  <c r="X69" i="17" s="1"/>
  <c r="Y69" i="17" s="1"/>
  <c r="X79" i="17" a="1"/>
  <c r="X79" i="17" s="1"/>
  <c r="Y79" i="17" s="1"/>
  <c r="Q79" i="17" s="1"/>
  <c r="W79" i="17" s="1"/>
  <c r="X89" i="17" a="1"/>
  <c r="X89" i="17" s="1"/>
  <c r="Y89" i="17" s="1"/>
  <c r="X99" i="17" a="1"/>
  <c r="X99" i="17" s="1"/>
  <c r="Y99" i="17" s="1"/>
  <c r="Q99" i="17" s="1"/>
  <c r="W99" i="17" s="1"/>
  <c r="X109" i="17" a="1"/>
  <c r="X109" i="17" s="1"/>
  <c r="X119" i="17" a="1"/>
  <c r="X119" i="17" s="1"/>
  <c r="Y119" i="17" s="1"/>
  <c r="X50" i="17" a="1"/>
  <c r="X50" i="17" s="1"/>
  <c r="X51" i="17" a="1"/>
  <c r="X51" i="17"/>
  <c r="Y51" i="17" s="1"/>
  <c r="Q51" i="17" s="1"/>
  <c r="W51" i="17" s="1"/>
  <c r="X52" i="17" a="1"/>
  <c r="X52" i="17" s="1"/>
  <c r="X53" i="17" a="1"/>
  <c r="X53" i="17" s="1"/>
  <c r="Y53" i="17" s="1"/>
  <c r="Q53" i="17" s="1"/>
  <c r="W53" i="17" s="1"/>
  <c r="X54" i="17" a="1"/>
  <c r="X54" i="17" s="1"/>
  <c r="Y54" i="17" s="1"/>
  <c r="X55" i="17" a="1"/>
  <c r="X55" i="17" s="1"/>
  <c r="Y55" i="17" s="1"/>
  <c r="X70" i="17" a="1"/>
  <c r="X70" i="17" s="1"/>
  <c r="Y70" i="17" s="1"/>
  <c r="X80" i="17" a="1"/>
  <c r="X80" i="17" s="1"/>
  <c r="Y80" i="17" s="1"/>
  <c r="Q80" i="17" s="1"/>
  <c r="W80" i="17" s="1"/>
  <c r="X90" i="17" a="1"/>
  <c r="X90" i="17" s="1"/>
  <c r="X100" i="17" a="1"/>
  <c r="X100" i="17" s="1"/>
  <c r="Y100" i="17" s="1"/>
  <c r="Q100" i="17" s="1"/>
  <c r="W100" i="17" s="1"/>
  <c r="X110" i="17" a="1"/>
  <c r="X110" i="17" s="1"/>
  <c r="X120" i="17" a="1"/>
  <c r="X120" i="17" s="1"/>
  <c r="Y120" i="17" s="1"/>
  <c r="Q120" i="17" s="1"/>
  <c r="W120" i="17" s="1"/>
  <c r="X56" i="17" a="1"/>
  <c r="X56" i="17" s="1"/>
  <c r="Y56" i="17" s="1"/>
  <c r="Q56" i="17" s="1"/>
  <c r="W56" i="17" s="1"/>
  <c r="X57" i="17" a="1"/>
  <c r="X57" i="17" s="1"/>
  <c r="Y57" i="17" s="1"/>
  <c r="X58" i="17" a="1"/>
  <c r="X58" i="17" s="1"/>
  <c r="X59" i="17" a="1"/>
  <c r="X59" i="17" s="1"/>
  <c r="Y59" i="17" s="1"/>
  <c r="Q59" i="17" s="1"/>
  <c r="W59" i="17" s="1"/>
  <c r="X60" i="17" a="1"/>
  <c r="X60" i="17" s="1"/>
  <c r="X61" i="17" a="1"/>
  <c r="X61" i="17" s="1"/>
  <c r="Y61" i="17" s="1"/>
  <c r="X71" i="17" a="1"/>
  <c r="X71" i="17" s="1"/>
  <c r="X81" i="17" a="1"/>
  <c r="X81" i="17"/>
  <c r="Y81" i="17" s="1"/>
  <c r="Q81" i="17" s="1"/>
  <c r="W81" i="17" s="1"/>
  <c r="X91" i="17" a="1"/>
  <c r="X91" i="17" s="1"/>
  <c r="Y91" i="17" s="1"/>
  <c r="Q91" i="17" s="1"/>
  <c r="W91" i="17" s="1"/>
  <c r="X101" i="17" a="1"/>
  <c r="X101" i="17" s="1"/>
  <c r="Y101" i="17" s="1"/>
  <c r="X111" i="17" a="1"/>
  <c r="X111" i="17" s="1"/>
  <c r="Y111" i="17" s="1"/>
  <c r="X121" i="17" a="1"/>
  <c r="X121" i="17" s="1"/>
  <c r="Y121" i="17" s="1"/>
  <c r="Q121" i="17" s="1"/>
  <c r="W121" i="17" s="1"/>
  <c r="Y2" i="17"/>
  <c r="Y6" i="17"/>
  <c r="Q6" i="17" s="1"/>
  <c r="W6" i="17" s="1"/>
  <c r="Y112" i="17"/>
  <c r="Y8" i="17"/>
  <c r="Y12" i="17"/>
  <c r="Q12" i="17" s="1"/>
  <c r="W12" i="17" s="1"/>
  <c r="Y83" i="17"/>
  <c r="Y18" i="17"/>
  <c r="Y20" i="17"/>
  <c r="Q20" i="17" s="1"/>
  <c r="W20" i="17" s="1"/>
  <c r="Y85" i="17"/>
  <c r="Y30" i="17"/>
  <c r="Y32" i="17"/>
  <c r="Y42" i="17"/>
  <c r="G2" i="16"/>
  <c r="N8" i="20" l="1"/>
  <c r="N58" i="20"/>
  <c r="N6" i="20"/>
  <c r="P64" i="20" a="1"/>
  <c r="P64" i="20" s="1"/>
  <c r="P56" i="20" a="1"/>
  <c r="P56" i="20" s="1"/>
  <c r="P48" i="20" a="1"/>
  <c r="P48" i="20" s="1"/>
  <c r="P40" i="20" a="1"/>
  <c r="P40" i="20" s="1"/>
  <c r="P32" i="20" a="1"/>
  <c r="P32" i="20" s="1"/>
  <c r="P24" i="20" a="1"/>
  <c r="P24" i="20" s="1"/>
  <c r="P16" i="20" a="1"/>
  <c r="P16" i="20" s="1"/>
  <c r="P8" i="20" a="1"/>
  <c r="P8" i="20" s="1"/>
  <c r="O70" i="20" a="1"/>
  <c r="O70" i="20" s="1"/>
  <c r="O62" i="20" a="1"/>
  <c r="O62" i="20" s="1"/>
  <c r="O54" i="20" a="1"/>
  <c r="O54" i="20" s="1"/>
  <c r="O46" i="20" a="1"/>
  <c r="O46" i="20" s="1"/>
  <c r="O39" i="20" a="1"/>
  <c r="O39" i="20" s="1"/>
  <c r="O33" i="20" a="1"/>
  <c r="O33" i="20" s="1"/>
  <c r="O26" i="20" a="1"/>
  <c r="O26" i="20" s="1"/>
  <c r="O19" i="20" a="1"/>
  <c r="O19" i="20" s="1"/>
  <c r="O13" i="20" a="1"/>
  <c r="O13" i="20" s="1"/>
  <c r="L65" i="20" a="1"/>
  <c r="L65" i="20" s="1"/>
  <c r="L57" i="20" a="1"/>
  <c r="L57" i="20" s="1"/>
  <c r="L50" i="20" a="1"/>
  <c r="L50" i="20" s="1"/>
  <c r="N50" i="20" s="1"/>
  <c r="L43" i="20" a="1"/>
  <c r="L43" i="20" s="1"/>
  <c r="N43" i="20" s="1"/>
  <c r="L35" i="20" a="1"/>
  <c r="L35" i="20" s="1"/>
  <c r="N35" i="20" s="1"/>
  <c r="L27" i="20" a="1"/>
  <c r="L27" i="20" s="1"/>
  <c r="L20" i="20" a="1"/>
  <c r="L20" i="20" s="1"/>
  <c r="N20" i="20" s="1"/>
  <c r="L13" i="20" a="1"/>
  <c r="L13" i="20" s="1"/>
  <c r="N13" i="20" s="1"/>
  <c r="L5" i="20" a="1"/>
  <c r="L5" i="20" s="1"/>
  <c r="K67" i="20" a="1"/>
  <c r="K67" i="20" s="1"/>
  <c r="K60" i="20" a="1"/>
  <c r="K60" i="20" s="1"/>
  <c r="K45" i="20" a="1"/>
  <c r="K45" i="20" s="1"/>
  <c r="K37" i="20" a="1"/>
  <c r="K37" i="20" s="1"/>
  <c r="K30" i="20" a="1"/>
  <c r="K30" i="20" s="1"/>
  <c r="K23" i="20" a="1"/>
  <c r="K23" i="20" s="1"/>
  <c r="K16" i="20" a="1"/>
  <c r="K16" i="20" s="1"/>
  <c r="K8" i="20" a="1"/>
  <c r="K8" i="20" s="1"/>
  <c r="P55" i="20" a="1"/>
  <c r="P55" i="20" s="1"/>
  <c r="P47" i="20" a="1"/>
  <c r="P47" i="20" s="1"/>
  <c r="P39" i="20" a="1"/>
  <c r="P39" i="20" s="1"/>
  <c r="P31" i="20" a="1"/>
  <c r="P31" i="20" s="1"/>
  <c r="P23" i="20" a="1"/>
  <c r="P23" i="20" s="1"/>
  <c r="P15" i="20" a="1"/>
  <c r="P15" i="20" s="1"/>
  <c r="P7" i="20" a="1"/>
  <c r="P7" i="20" s="1"/>
  <c r="O69" i="20" a="1"/>
  <c r="O69" i="20" s="1"/>
  <c r="O61" i="20" a="1"/>
  <c r="O61" i="20" s="1"/>
  <c r="O53" i="20" a="1"/>
  <c r="O53" i="20" s="1"/>
  <c r="O45" i="20" a="1"/>
  <c r="O45" i="20" s="1"/>
  <c r="O32" i="20" a="1"/>
  <c r="O32" i="20" s="1"/>
  <c r="O25" i="20" a="1"/>
  <c r="O25" i="20" s="1"/>
  <c r="O18" i="20" a="1"/>
  <c r="O18" i="20" s="1"/>
  <c r="O12" i="20" a="1"/>
  <c r="O12" i="20" s="1"/>
  <c r="O5" i="20" a="1"/>
  <c r="O5" i="20" s="1"/>
  <c r="L64" i="20" a="1"/>
  <c r="L64" i="20" s="1"/>
  <c r="L56" i="20" a="1"/>
  <c r="L56" i="20" s="1"/>
  <c r="N56" i="20" s="1"/>
  <c r="L49" i="20" a="1"/>
  <c r="L49" i="20" s="1"/>
  <c r="L42" i="20" a="1"/>
  <c r="L42" i="20" s="1"/>
  <c r="L34" i="20" a="1"/>
  <c r="L34" i="20" s="1"/>
  <c r="L26" i="20" a="1"/>
  <c r="L26" i="20" s="1"/>
  <c r="N26" i="20" s="1"/>
  <c r="L19" i="20" a="1"/>
  <c r="L19" i="20" s="1"/>
  <c r="N19" i="20" s="1"/>
  <c r="L12" i="20" a="1"/>
  <c r="L12" i="20" s="1"/>
  <c r="L4" i="20" a="1"/>
  <c r="L4" i="20" s="1"/>
  <c r="K66" i="20" a="1"/>
  <c r="K66" i="20" s="1"/>
  <c r="K59" i="20" a="1"/>
  <c r="K59" i="20" s="1"/>
  <c r="K52" i="20" a="1"/>
  <c r="K52" i="20" s="1"/>
  <c r="K44" i="20" a="1"/>
  <c r="K44" i="20" s="1"/>
  <c r="K36" i="20" a="1"/>
  <c r="K36" i="20" s="1"/>
  <c r="K29" i="20" a="1"/>
  <c r="K29" i="20" s="1"/>
  <c r="K22" i="20" a="1"/>
  <c r="K22" i="20" s="1"/>
  <c r="K15" i="20" a="1"/>
  <c r="K15" i="20" s="1"/>
  <c r="K7" i="20" a="1"/>
  <c r="K7" i="20" s="1"/>
  <c r="P70" i="20" a="1"/>
  <c r="P70" i="20" s="1"/>
  <c r="P62" i="20" a="1"/>
  <c r="P62" i="20" s="1"/>
  <c r="P54" i="20" a="1"/>
  <c r="P54" i="20" s="1"/>
  <c r="P46" i="20" a="1"/>
  <c r="P46" i="20" s="1"/>
  <c r="P38" i="20" a="1"/>
  <c r="P38" i="20" s="1"/>
  <c r="P30" i="20" a="1"/>
  <c r="P30" i="20" s="1"/>
  <c r="P22" i="20" a="1"/>
  <c r="P22" i="20" s="1"/>
  <c r="P14" i="20" a="1"/>
  <c r="P14" i="20" s="1"/>
  <c r="P6" i="20" a="1"/>
  <c r="P6" i="20" s="1"/>
  <c r="O68" i="20" a="1"/>
  <c r="O68" i="20" s="1"/>
  <c r="O60" i="20" a="1"/>
  <c r="O60" i="20" s="1"/>
  <c r="O52" i="20" a="1"/>
  <c r="O52" i="20" s="1"/>
  <c r="O44" i="20" a="1"/>
  <c r="O44" i="20" s="1"/>
  <c r="O38" i="20" a="1"/>
  <c r="O38" i="20" s="1"/>
  <c r="O31" i="20" a="1"/>
  <c r="O31" i="20" s="1"/>
  <c r="O24" i="20" a="1"/>
  <c r="O24" i="20" s="1"/>
  <c r="O11" i="20" a="1"/>
  <c r="O11" i="20" s="1"/>
  <c r="O4" i="20" a="1"/>
  <c r="O4" i="20" s="1"/>
  <c r="L71" i="20" a="1"/>
  <c r="L71" i="20" s="1"/>
  <c r="N71" i="20" s="1"/>
  <c r="L63" i="20" a="1"/>
  <c r="L63" i="20" s="1"/>
  <c r="N63" i="20" s="1"/>
  <c r="L55" i="20" a="1"/>
  <c r="L55" i="20" s="1"/>
  <c r="L48" i="20" a="1"/>
  <c r="L48" i="20" s="1"/>
  <c r="N48" i="20" s="1"/>
  <c r="L41" i="20" a="1"/>
  <c r="L41" i="20" s="1"/>
  <c r="N41" i="20" s="1"/>
  <c r="L33" i="20" a="1"/>
  <c r="L33" i="20" s="1"/>
  <c r="L25" i="20" a="1"/>
  <c r="L25" i="20" s="1"/>
  <c r="L18" i="20" a="1"/>
  <c r="L18" i="20" s="1"/>
  <c r="N18" i="20" s="1"/>
  <c r="L11" i="20" a="1"/>
  <c r="L11" i="20" s="1"/>
  <c r="L3" i="20" a="1"/>
  <c r="L3" i="20" s="1"/>
  <c r="N3" i="20" s="1"/>
  <c r="K65" i="20" a="1"/>
  <c r="K65" i="20" s="1"/>
  <c r="K58" i="20" a="1"/>
  <c r="K58" i="20" s="1"/>
  <c r="K51" i="20" a="1"/>
  <c r="K51" i="20" s="1"/>
  <c r="K43" i="20" a="1"/>
  <c r="K43" i="20" s="1"/>
  <c r="K35" i="20" a="1"/>
  <c r="K35" i="20" s="1"/>
  <c r="K21" i="20" a="1"/>
  <c r="K21" i="20" s="1"/>
  <c r="K14" i="20" a="1"/>
  <c r="K14" i="20" s="1"/>
  <c r="K6" i="20" a="1"/>
  <c r="K6" i="20" s="1"/>
  <c r="P71" i="20" a="1"/>
  <c r="P71" i="20" s="1"/>
  <c r="P69" i="20" a="1"/>
  <c r="P69" i="20" s="1"/>
  <c r="P61" i="20" a="1"/>
  <c r="P61" i="20" s="1"/>
  <c r="P53" i="20" a="1"/>
  <c r="P53" i="20" s="1"/>
  <c r="P45" i="20" a="1"/>
  <c r="P45" i="20" s="1"/>
  <c r="P37" i="20" a="1"/>
  <c r="P37" i="20" s="1"/>
  <c r="P29" i="20" a="1"/>
  <c r="P29" i="20" s="1"/>
  <c r="P21" i="20" a="1"/>
  <c r="P21" i="20" s="1"/>
  <c r="P13" i="20" a="1"/>
  <c r="P13" i="20" s="1"/>
  <c r="P5" i="20" a="1"/>
  <c r="P5" i="20" s="1"/>
  <c r="O67" i="20" a="1"/>
  <c r="O67" i="20" s="1"/>
  <c r="O59" i="20" a="1"/>
  <c r="O59" i="20" s="1"/>
  <c r="O51" i="20" a="1"/>
  <c r="O51" i="20" s="1"/>
  <c r="O43" i="20" a="1"/>
  <c r="O43" i="20" s="1"/>
  <c r="O37" i="20" a="1"/>
  <c r="O37" i="20" s="1"/>
  <c r="O23" i="20" a="1"/>
  <c r="O23" i="20" s="1"/>
  <c r="O17" i="20" a="1"/>
  <c r="O17" i="20" s="1"/>
  <c r="O10" i="20" a="1"/>
  <c r="O10" i="20" s="1"/>
  <c r="O3" i="20" a="1"/>
  <c r="O3" i="20" s="1"/>
  <c r="N44" i="20"/>
  <c r="L70" i="20" a="1"/>
  <c r="L70" i="20" s="1"/>
  <c r="N70" i="20" s="1"/>
  <c r="L62" i="20" a="1"/>
  <c r="L62" i="20" s="1"/>
  <c r="L47" i="20" a="1"/>
  <c r="L47" i="20" s="1"/>
  <c r="N47" i="20" s="1"/>
  <c r="L40" i="20" a="1"/>
  <c r="L40" i="20" s="1"/>
  <c r="L32" i="20" a="1"/>
  <c r="L32" i="20" s="1"/>
  <c r="N32" i="20" s="1"/>
  <c r="L24" i="20" a="1"/>
  <c r="L24" i="20" s="1"/>
  <c r="N24" i="20" s="1"/>
  <c r="L10" i="20" a="1"/>
  <c r="L10" i="20" s="1"/>
  <c r="N10" i="20" s="1"/>
  <c r="L2" i="20" a="1"/>
  <c r="L2" i="20" s="1"/>
  <c r="K64" i="20" a="1"/>
  <c r="K64" i="20" s="1"/>
  <c r="K57" i="20" a="1"/>
  <c r="K57" i="20" s="1"/>
  <c r="K50" i="20" a="1"/>
  <c r="K50" i="20" s="1"/>
  <c r="K42" i="20" a="1"/>
  <c r="K42" i="20" s="1"/>
  <c r="K34" i="20" a="1"/>
  <c r="K34" i="20" s="1"/>
  <c r="K28" i="20" a="1"/>
  <c r="K28" i="20" s="1"/>
  <c r="K13" i="20" a="1"/>
  <c r="K13" i="20" s="1"/>
  <c r="K5" i="20" a="1"/>
  <c r="K5" i="20" s="1"/>
  <c r="P68" i="20" a="1"/>
  <c r="P68" i="20" s="1"/>
  <c r="P60" i="20" a="1"/>
  <c r="P60" i="20" s="1"/>
  <c r="P52" i="20" a="1"/>
  <c r="P52" i="20" s="1"/>
  <c r="P44" i="20" a="1"/>
  <c r="P44" i="20" s="1"/>
  <c r="P36" i="20" a="1"/>
  <c r="P36" i="20" s="1"/>
  <c r="P28" i="20" a="1"/>
  <c r="P28" i="20" s="1"/>
  <c r="P20" i="20" a="1"/>
  <c r="P20" i="20" s="1"/>
  <c r="P12" i="20" a="1"/>
  <c r="P12" i="20" s="1"/>
  <c r="P4" i="20" a="1"/>
  <c r="P4" i="20" s="1"/>
  <c r="O66" i="20" a="1"/>
  <c r="O66" i="20" s="1"/>
  <c r="O58" i="20" a="1"/>
  <c r="O58" i="20" s="1"/>
  <c r="O50" i="20" a="1"/>
  <c r="O50" i="20" s="1"/>
  <c r="O36" i="20" a="1"/>
  <c r="O36" i="20" s="1"/>
  <c r="O30" i="20" a="1"/>
  <c r="O30" i="20" s="1"/>
  <c r="O22" i="20" a="1"/>
  <c r="O22" i="20" s="1"/>
  <c r="O16" i="20" a="1"/>
  <c r="O16" i="20" s="1"/>
  <c r="O9" i="20" a="1"/>
  <c r="O9" i="20" s="1"/>
  <c r="O2" i="20" a="1"/>
  <c r="O2" i="20" s="1"/>
  <c r="N36" i="20"/>
  <c r="N28" i="20"/>
  <c r="L69" i="20" a="1"/>
  <c r="L69" i="20" s="1"/>
  <c r="L61" i="20" a="1"/>
  <c r="L61" i="20" s="1"/>
  <c r="N61" i="20" s="1"/>
  <c r="L54" i="20" a="1"/>
  <c r="L54" i="20" s="1"/>
  <c r="N54" i="20" s="1"/>
  <c r="L39" i="20" a="1"/>
  <c r="L39" i="20" s="1"/>
  <c r="N39" i="20" s="1"/>
  <c r="L31" i="20" a="1"/>
  <c r="L31" i="20" s="1"/>
  <c r="N31" i="20" s="1"/>
  <c r="L23" i="20" a="1"/>
  <c r="L23" i="20" s="1"/>
  <c r="N23" i="20" s="1"/>
  <c r="L16" i="20" a="1"/>
  <c r="L16" i="20" s="1"/>
  <c r="N16" i="20" s="1"/>
  <c r="L9" i="20" a="1"/>
  <c r="L9" i="20" s="1"/>
  <c r="K71" i="20" a="1"/>
  <c r="K71" i="20" s="1"/>
  <c r="K63" i="20" a="1"/>
  <c r="K63" i="20" s="1"/>
  <c r="K56" i="20" a="1"/>
  <c r="K56" i="20" s="1"/>
  <c r="K49" i="20" a="1"/>
  <c r="K49" i="20" s="1"/>
  <c r="K41" i="20" a="1"/>
  <c r="K41" i="20" s="1"/>
  <c r="K27" i="20" a="1"/>
  <c r="K27" i="20" s="1"/>
  <c r="K20" i="20" a="1"/>
  <c r="K20" i="20" s="1"/>
  <c r="K12" i="20" a="1"/>
  <c r="K12" i="20" s="1"/>
  <c r="K4" i="20" a="1"/>
  <c r="K4" i="20" s="1"/>
  <c r="N11" i="20"/>
  <c r="N4" i="20"/>
  <c r="P63" i="20" a="1"/>
  <c r="P63" i="20" s="1"/>
  <c r="P67" i="20" a="1"/>
  <c r="P67" i="20" s="1"/>
  <c r="P59" i="20" a="1"/>
  <c r="P59" i="20" s="1"/>
  <c r="P51" i="20" a="1"/>
  <c r="P51" i="20" s="1"/>
  <c r="P43" i="20" a="1"/>
  <c r="P43" i="20" s="1"/>
  <c r="P35" i="20" a="1"/>
  <c r="P35" i="20" s="1"/>
  <c r="P27" i="20" a="1"/>
  <c r="P27" i="20" s="1"/>
  <c r="P19" i="20" a="1"/>
  <c r="P19" i="20" s="1"/>
  <c r="P11" i="20" a="1"/>
  <c r="P11" i="20" s="1"/>
  <c r="P3" i="20" a="1"/>
  <c r="P3" i="20" s="1"/>
  <c r="O42" i="20" a="1"/>
  <c r="O42" i="20" s="1"/>
  <c r="O35" i="20" a="1"/>
  <c r="O35" i="20" s="1"/>
  <c r="O29" i="20" a="1"/>
  <c r="O29" i="20" s="1"/>
  <c r="O8" i="20" a="1"/>
  <c r="O8" i="20" s="1"/>
  <c r="N64" i="20"/>
  <c r="N27" i="20"/>
  <c r="L68" i="20" a="1"/>
  <c r="L68" i="20" s="1"/>
  <c r="N68" i="20" s="1"/>
  <c r="L60" i="20" a="1"/>
  <c r="L60" i="20" s="1"/>
  <c r="N60" i="20" s="1"/>
  <c r="L53" i="20" a="1"/>
  <c r="L53" i="20" s="1"/>
  <c r="L46" i="20" a="1"/>
  <c r="L46" i="20" s="1"/>
  <c r="N46" i="20" s="1"/>
  <c r="L38" i="20" a="1"/>
  <c r="L38" i="20" s="1"/>
  <c r="L30" i="20" a="1"/>
  <c r="L30" i="20" s="1"/>
  <c r="N30" i="20" s="1"/>
  <c r="L15" i="20" a="1"/>
  <c r="L15" i="20" s="1"/>
  <c r="N15" i="20" s="1"/>
  <c r="L8" i="20" a="1"/>
  <c r="L8" i="20" s="1"/>
  <c r="K70" i="20" a="1"/>
  <c r="K70" i="20" s="1"/>
  <c r="K62" i="20" a="1"/>
  <c r="K62" i="20" s="1"/>
  <c r="K55" i="20" a="1"/>
  <c r="K55" i="20" s="1"/>
  <c r="K48" i="20" a="1"/>
  <c r="K48" i="20" s="1"/>
  <c r="K40" i="20" a="1"/>
  <c r="K40" i="20" s="1"/>
  <c r="K26" i="20" a="1"/>
  <c r="K26" i="20" s="1"/>
  <c r="K19" i="20" a="1"/>
  <c r="K19" i="20" s="1"/>
  <c r="K11" i="20" a="1"/>
  <c r="K11" i="20" s="1"/>
  <c r="K3" i="20" a="1"/>
  <c r="K3" i="20" s="1"/>
  <c r="N40" i="20"/>
  <c r="P66" i="20" a="1"/>
  <c r="P66" i="20" s="1"/>
  <c r="P58" i="20" a="1"/>
  <c r="P58" i="20" s="1"/>
  <c r="P50" i="20" a="1"/>
  <c r="P50" i="20" s="1"/>
  <c r="P42" i="20" a="1"/>
  <c r="P42" i="20" s="1"/>
  <c r="P34" i="20" a="1"/>
  <c r="P34" i="20" s="1"/>
  <c r="P26" i="20" a="1"/>
  <c r="P26" i="20" s="1"/>
  <c r="P18" i="20" a="1"/>
  <c r="P18" i="20" s="1"/>
  <c r="P10" i="20" a="1"/>
  <c r="P10" i="20" s="1"/>
  <c r="P2" i="20" a="1"/>
  <c r="P2" i="20" s="1"/>
  <c r="O64" i="20" a="1"/>
  <c r="O64" i="20" s="1"/>
  <c r="O56" i="20" a="1"/>
  <c r="O56" i="20" s="1"/>
  <c r="O48" i="20" a="1"/>
  <c r="O48" i="20" s="1"/>
  <c r="O28" i="20" a="1"/>
  <c r="O28" i="20" s="1"/>
  <c r="O21" i="20" a="1"/>
  <c r="O21" i="20" s="1"/>
  <c r="O15" i="20" a="1"/>
  <c r="O15" i="20" s="1"/>
  <c r="O7" i="20" a="1"/>
  <c r="O7" i="20" s="1"/>
  <c r="N55" i="20"/>
  <c r="N12" i="20"/>
  <c r="L67" i="20" a="1"/>
  <c r="L67" i="20" s="1"/>
  <c r="N67" i="20" s="1"/>
  <c r="L59" i="20" a="1"/>
  <c r="L59" i="20" s="1"/>
  <c r="N59" i="20" s="1"/>
  <c r="L52" i="20" a="1"/>
  <c r="L52" i="20" s="1"/>
  <c r="N52" i="20" s="1"/>
  <c r="L45" i="20" a="1"/>
  <c r="L45" i="20" s="1"/>
  <c r="L37" i="20" a="1"/>
  <c r="L37" i="20" s="1"/>
  <c r="L29" i="20" a="1"/>
  <c r="L29" i="20" s="1"/>
  <c r="L22" i="20" a="1"/>
  <c r="L22" i="20" s="1"/>
  <c r="N22" i="20" s="1"/>
  <c r="L7" i="20" a="1"/>
  <c r="L7" i="20" s="1"/>
  <c r="K69" i="20" a="1"/>
  <c r="K69" i="20" s="1"/>
  <c r="K61" i="20" a="1"/>
  <c r="K61" i="20" s="1"/>
  <c r="K54" i="20" a="1"/>
  <c r="K54" i="20" s="1"/>
  <c r="K47" i="20" a="1"/>
  <c r="K47" i="20" s="1"/>
  <c r="K39" i="20" a="1"/>
  <c r="K39" i="20" s="1"/>
  <c r="K32" i="20" a="1"/>
  <c r="K32" i="20" s="1"/>
  <c r="K18" i="20" a="1"/>
  <c r="K18" i="20" s="1"/>
  <c r="K10" i="20" a="1"/>
  <c r="K10" i="20" s="1"/>
  <c r="N42" i="20"/>
  <c r="N34" i="20"/>
  <c r="N2" i="20"/>
  <c r="N62" i="20"/>
  <c r="N38" i="20"/>
  <c r="N66" i="20"/>
  <c r="N53" i="20"/>
  <c r="N21" i="20"/>
  <c r="N65" i="20"/>
  <c r="N33" i="20"/>
  <c r="N7" i="20"/>
  <c r="N45" i="20"/>
  <c r="N57" i="20"/>
  <c r="N25" i="20"/>
  <c r="N69" i="20"/>
  <c r="N37" i="20"/>
  <c r="N5" i="20"/>
  <c r="N49" i="20"/>
  <c r="N17" i="20"/>
  <c r="N29" i="20"/>
  <c r="N9" i="20"/>
  <c r="R82" i="18"/>
  <c r="U82" i="18" s="1"/>
  <c r="R18" i="18"/>
  <c r="U18" i="18" s="1"/>
  <c r="R34" i="18"/>
  <c r="U34" i="18" s="1"/>
  <c r="U114" i="18"/>
  <c r="R96" i="18"/>
  <c r="U96" i="18" s="1"/>
  <c r="R24" i="18"/>
  <c r="U24" i="18" s="1"/>
  <c r="R10" i="18"/>
  <c r="U10" i="18" s="1"/>
  <c r="O27" i="18" a="1"/>
  <c r="O27" i="18" s="1"/>
  <c r="O49" i="18" a="1"/>
  <c r="O49" i="18" s="1"/>
  <c r="O41" i="18" a="1"/>
  <c r="O41" i="18" s="1"/>
  <c r="O52" i="18" a="1"/>
  <c r="O52" i="18" s="1"/>
  <c r="O25" i="18" a="1"/>
  <c r="O25" i="18" s="1"/>
  <c r="O17" i="18" a="1"/>
  <c r="O17" i="18" s="1"/>
  <c r="O4" i="18" a="1"/>
  <c r="O4" i="18" s="1"/>
  <c r="R130" i="18"/>
  <c r="U130" i="18" s="1"/>
  <c r="R102" i="18"/>
  <c r="U102" i="18" s="1"/>
  <c r="R66" i="18"/>
  <c r="U66" i="18" s="1"/>
  <c r="R38" i="18"/>
  <c r="U38" i="18" s="1"/>
  <c r="R2" i="18"/>
  <c r="U2" i="18" s="1"/>
  <c r="R97" i="18"/>
  <c r="U97" i="18" s="1"/>
  <c r="R68" i="18"/>
  <c r="U68" i="18" s="1"/>
  <c r="O94" i="18" a="1"/>
  <c r="O94" i="18" s="1"/>
  <c r="O82" i="18" a="1"/>
  <c r="O82" i="18" s="1"/>
  <c r="O75" i="18" a="1"/>
  <c r="O75" i="18" s="1"/>
  <c r="O69" i="18" a="1"/>
  <c r="O69" i="18" s="1"/>
  <c r="O63" i="18" a="1"/>
  <c r="O63" i="18" s="1"/>
  <c r="O55" i="18" a="1"/>
  <c r="O55" i="18" s="1"/>
  <c r="O46" i="18" a="1"/>
  <c r="O46" i="18" s="1"/>
  <c r="O37" i="18" a="1"/>
  <c r="O37" i="18" s="1"/>
  <c r="O3" i="18" a="1"/>
  <c r="O3" i="18" s="1"/>
  <c r="R58" i="18"/>
  <c r="U58" i="18" s="1"/>
  <c r="R44" i="18"/>
  <c r="U44" i="18" s="1"/>
  <c r="R8" i="18"/>
  <c r="U8" i="18" s="1"/>
  <c r="R117" i="18"/>
  <c r="U117" i="18" s="1"/>
  <c r="R85" i="18"/>
  <c r="U85" i="18" s="1"/>
  <c r="O100" i="18" a="1"/>
  <c r="O100" i="18" s="1"/>
  <c r="O93" i="18" a="1"/>
  <c r="O93" i="18" s="1"/>
  <c r="O88" i="18" a="1"/>
  <c r="O88" i="18" s="1"/>
  <c r="O62" i="18" a="1"/>
  <c r="O62" i="18" s="1"/>
  <c r="O54" i="18" a="1"/>
  <c r="O54" i="18" s="1"/>
  <c r="O45" i="18" a="1"/>
  <c r="O45" i="18" s="1"/>
  <c r="O35" i="18" a="1"/>
  <c r="O35" i="18" s="1"/>
  <c r="R86" i="18"/>
  <c r="U86" i="18" s="1"/>
  <c r="R22" i="18"/>
  <c r="U22" i="18" s="1"/>
  <c r="O99" i="18" a="1"/>
  <c r="O99" i="18" s="1"/>
  <c r="O87" i="18" a="1"/>
  <c r="O87" i="18" s="1"/>
  <c r="O80" i="18" a="1"/>
  <c r="O80" i="18" s="1"/>
  <c r="O74" i="18" a="1"/>
  <c r="O74" i="18" s="1"/>
  <c r="O68" i="18" a="1"/>
  <c r="O68" i="18" s="1"/>
  <c r="O61" i="18" a="1"/>
  <c r="O61" i="18" s="1"/>
  <c r="O53" i="18" a="1"/>
  <c r="O53" i="18" s="1"/>
  <c r="O43" i="18" a="1"/>
  <c r="O43" i="18" s="1"/>
  <c r="O34" i="18" a="1"/>
  <c r="O34" i="18" s="1"/>
  <c r="R42" i="18"/>
  <c r="U42" i="18" s="1"/>
  <c r="R14" i="18"/>
  <c r="U14" i="18" s="1"/>
  <c r="R101" i="18"/>
  <c r="U101" i="18" s="1"/>
  <c r="O92" i="18" a="1"/>
  <c r="O92" i="18" s="1"/>
  <c r="O86" i="18" a="1"/>
  <c r="O86" i="18" s="1"/>
  <c r="O79" i="18" a="1"/>
  <c r="O79" i="18" s="1"/>
  <c r="O67" i="18" a="1"/>
  <c r="O67" i="18" s="1"/>
  <c r="O59" i="18" a="1"/>
  <c r="O59" i="18" s="1"/>
  <c r="O51" i="18" a="1"/>
  <c r="O51" i="18" s="1"/>
  <c r="O42" i="18" a="1"/>
  <c r="O42" i="18" s="1"/>
  <c r="O30" i="18" a="1"/>
  <c r="O30" i="18" s="1"/>
  <c r="R70" i="18"/>
  <c r="U70" i="18" s="1"/>
  <c r="R6" i="18"/>
  <c r="U6" i="18" s="1"/>
  <c r="R129" i="18"/>
  <c r="U129" i="18" s="1"/>
  <c r="O109" i="18" a="1"/>
  <c r="O109" i="18" s="1"/>
  <c r="O104" i="18" a="1"/>
  <c r="O104" i="18" s="1"/>
  <c r="O97" i="18" a="1"/>
  <c r="O97" i="18" s="1"/>
  <c r="O91" i="18" a="1"/>
  <c r="O91" i="18" s="1"/>
  <c r="O85" i="18" a="1"/>
  <c r="O85" i="18" s="1"/>
  <c r="O78" i="18" a="1"/>
  <c r="O78" i="18" s="1"/>
  <c r="O66" i="18" a="1"/>
  <c r="O66" i="18" s="1"/>
  <c r="O58" i="18" a="1"/>
  <c r="O58" i="18" s="1"/>
  <c r="O50" i="18" a="1"/>
  <c r="O50" i="18" s="1"/>
  <c r="O29" i="18" a="1"/>
  <c r="O29" i="18" s="1"/>
  <c r="R112" i="18"/>
  <c r="U112" i="18" s="1"/>
  <c r="R26" i="18"/>
  <c r="U26" i="18" s="1"/>
  <c r="R128" i="18"/>
  <c r="U128" i="18" s="1"/>
  <c r="P3" i="18" a="1"/>
  <c r="P3" i="18" s="1"/>
  <c r="R3" i="18" s="1"/>
  <c r="U3" i="18" s="1"/>
  <c r="O127" i="18" a="1"/>
  <c r="O127" i="18" s="1"/>
  <c r="O115" i="18" a="1"/>
  <c r="O115" i="18" s="1"/>
  <c r="O103" i="18" a="1"/>
  <c r="O103" i="18" s="1"/>
  <c r="O77" i="18" a="1"/>
  <c r="O77" i="18" s="1"/>
  <c r="O72" i="18" a="1"/>
  <c r="O72" i="18" s="1"/>
  <c r="O57" i="18" a="1"/>
  <c r="O57" i="18" s="1"/>
  <c r="O40" i="18" a="1"/>
  <c r="O40" i="18" s="1"/>
  <c r="O23" i="18" a="1"/>
  <c r="O23" i="18" s="1"/>
  <c r="R125" i="18"/>
  <c r="U125" i="18" s="1"/>
  <c r="R118" i="18"/>
  <c r="U118" i="18" s="1"/>
  <c r="R54" i="18"/>
  <c r="U54" i="18" s="1"/>
  <c r="R4" i="18"/>
  <c r="U4" i="18" s="1"/>
  <c r="R120" i="18"/>
  <c r="U120" i="18" s="1"/>
  <c r="R113" i="18"/>
  <c r="U113" i="18" s="1"/>
  <c r="O90" i="18" a="1"/>
  <c r="O90" i="18" s="1"/>
  <c r="O84" i="18" a="1"/>
  <c r="O84" i="18" s="1"/>
  <c r="O71" i="18" a="1"/>
  <c r="O71" i="18" s="1"/>
  <c r="O48" i="18" a="1"/>
  <c r="O48" i="18" s="1"/>
  <c r="O39" i="18" a="1"/>
  <c r="O39" i="18" s="1"/>
  <c r="O19" i="18" a="1"/>
  <c r="O19" i="18" s="1"/>
  <c r="R126" i="18"/>
  <c r="U126" i="18" s="1"/>
  <c r="R94" i="18"/>
  <c r="U94" i="18" s="1"/>
  <c r="R62" i="18"/>
  <c r="U62" i="18" s="1"/>
  <c r="R30" i="18"/>
  <c r="U30" i="18" s="1"/>
  <c r="O24" i="18" a="1"/>
  <c r="O24" i="18" s="1"/>
  <c r="O13" i="18" a="1"/>
  <c r="O13" i="18" s="1"/>
  <c r="O8" i="18" a="1"/>
  <c r="O8" i="18" s="1"/>
  <c r="O18" i="18" a="1"/>
  <c r="O18" i="18" s="1"/>
  <c r="O7" i="18" a="1"/>
  <c r="O7" i="18" s="1"/>
  <c r="O2" i="18" a="1"/>
  <c r="O2" i="18" s="1"/>
  <c r="O60" i="18" a="1"/>
  <c r="O60" i="18" s="1"/>
  <c r="O44" i="18" a="1"/>
  <c r="O44" i="18" s="1"/>
  <c r="O33" i="18" a="1"/>
  <c r="O33" i="18" s="1"/>
  <c r="O28" i="18" a="1"/>
  <c r="O28" i="18" s="1"/>
  <c r="O12" i="18" a="1"/>
  <c r="O12" i="18" s="1"/>
  <c r="O22" i="18" a="1"/>
  <c r="O22" i="18" s="1"/>
  <c r="O11" i="18" a="1"/>
  <c r="O11" i="18" s="1"/>
  <c r="O6" i="18" a="1"/>
  <c r="O6" i="18" s="1"/>
  <c r="O32" i="18" a="1"/>
  <c r="O32" i="18" s="1"/>
  <c r="O21" i="18" a="1"/>
  <c r="O21" i="18" s="1"/>
  <c r="O16" i="18" a="1"/>
  <c r="O16" i="18" s="1"/>
  <c r="O5" i="18" a="1"/>
  <c r="O5" i="18" s="1"/>
  <c r="O31" i="18" a="1"/>
  <c r="O31" i="18" s="1"/>
  <c r="O26" i="18" a="1"/>
  <c r="O26" i="18" s="1"/>
  <c r="O15" i="18" a="1"/>
  <c r="O15" i="18" s="1"/>
  <c r="O10" i="18" a="1"/>
  <c r="O10" i="18" s="1"/>
  <c r="O36" i="18" a="1"/>
  <c r="O36" i="18" s="1"/>
  <c r="O20" i="18" a="1"/>
  <c r="O20" i="18" s="1"/>
  <c r="O9" i="18" a="1"/>
  <c r="O9" i="18" s="1"/>
  <c r="Q40" i="17"/>
  <c r="W40" i="17" s="1"/>
  <c r="Q38" i="17"/>
  <c r="W38" i="17" s="1"/>
  <c r="Q70" i="17"/>
  <c r="W70" i="17" s="1"/>
  <c r="Y50" i="17"/>
  <c r="Q115" i="17"/>
  <c r="W115" i="17" s="1"/>
  <c r="N101" i="17" a="1"/>
  <c r="N101" i="17" s="1"/>
  <c r="N58" i="17" a="1"/>
  <c r="N58" i="17" s="1"/>
  <c r="N99" i="17" a="1"/>
  <c r="N99" i="17" s="1"/>
  <c r="N45" i="17" a="1"/>
  <c r="N45" i="17" s="1"/>
  <c r="N76" i="17" a="1"/>
  <c r="N76" i="17" s="1"/>
  <c r="Y36" i="17"/>
  <c r="Q36" i="17" s="1"/>
  <c r="W36" i="17" s="1"/>
  <c r="N23" i="17" a="1"/>
  <c r="N23" i="17" s="1"/>
  <c r="N113" i="17" a="1"/>
  <c r="N113" i="17" s="1"/>
  <c r="N11" i="17" a="1"/>
  <c r="N11" i="17" s="1"/>
  <c r="N72" i="17" a="1"/>
  <c r="N72" i="17" s="1"/>
  <c r="Q66" i="17"/>
  <c r="W66" i="17" s="1"/>
  <c r="Y105" i="17"/>
  <c r="Q94" i="17"/>
  <c r="W94" i="17" s="1"/>
  <c r="N97" i="17" a="1"/>
  <c r="N97" i="17" s="1"/>
  <c r="N68" i="17" a="1"/>
  <c r="N68" i="17" s="1"/>
  <c r="N107" i="17" a="1"/>
  <c r="N107" i="17" s="1"/>
  <c r="N13" i="17" a="1"/>
  <c r="N13" i="17" s="1"/>
  <c r="N66" i="17" a="1"/>
  <c r="N66" i="17" s="1"/>
  <c r="N105" i="17" a="1"/>
  <c r="N105" i="17" s="1"/>
  <c r="N22" i="17" a="1"/>
  <c r="N22" i="17" s="1"/>
  <c r="N103" i="17" a="1"/>
  <c r="N103" i="17" s="1"/>
  <c r="N7" i="17" a="1"/>
  <c r="N7" i="17" s="1"/>
  <c r="N62" i="17" a="1"/>
  <c r="N62" i="17" s="1"/>
  <c r="Q84" i="17"/>
  <c r="W84" i="17" s="1"/>
  <c r="N81" i="17" a="1"/>
  <c r="N81" i="17" s="1"/>
  <c r="N56" i="17" a="1"/>
  <c r="N56" i="17" s="1"/>
  <c r="N55" i="17" a="1"/>
  <c r="N55" i="17" s="1"/>
  <c r="N79" i="17" a="1"/>
  <c r="N79" i="17" s="1"/>
  <c r="N88" i="17" a="1"/>
  <c r="N88" i="17" s="1"/>
  <c r="N77" i="17" a="1"/>
  <c r="N77" i="17" s="1"/>
  <c r="N75" i="17" a="1"/>
  <c r="N75" i="17" s="1"/>
  <c r="N5" i="17" a="1"/>
  <c r="N5" i="17" s="1"/>
  <c r="Y26" i="17"/>
  <c r="Q26" i="17" s="1"/>
  <c r="W26" i="17" s="1"/>
  <c r="Q54" i="17"/>
  <c r="W54" i="17" s="1"/>
  <c r="Q31" i="17"/>
  <c r="W31" i="17" s="1"/>
  <c r="Y71" i="17"/>
  <c r="Q71" i="17" s="1"/>
  <c r="W71" i="17" s="1"/>
  <c r="Q22" i="17"/>
  <c r="W22" i="17" s="1"/>
  <c r="Q74" i="17"/>
  <c r="W74" i="17" s="1"/>
  <c r="O19" i="17" a="1"/>
  <c r="O19" i="17" s="1"/>
  <c r="O103" i="17" a="1"/>
  <c r="O103" i="17" s="1"/>
  <c r="O11" i="17" a="1"/>
  <c r="O11" i="17" s="1"/>
  <c r="O4" i="17" a="1"/>
  <c r="O4" i="17" s="1"/>
  <c r="N71" i="17" a="1"/>
  <c r="N71" i="17" s="1"/>
  <c r="N120" i="17" a="1"/>
  <c r="N120" i="17" s="1"/>
  <c r="N54" i="17" a="1"/>
  <c r="N54" i="17" s="1"/>
  <c r="N67" i="17" a="1"/>
  <c r="N67" i="17" s="1"/>
  <c r="N65" i="17" a="1"/>
  <c r="N65" i="17" s="1"/>
  <c r="Y90" i="17"/>
  <c r="Q90" i="17" s="1"/>
  <c r="W90" i="17" s="1"/>
  <c r="Q89" i="17"/>
  <c r="W89" i="17" s="1"/>
  <c r="Y68" i="17"/>
  <c r="Q68" i="17" s="1"/>
  <c r="W68" i="17" s="1"/>
  <c r="Q13" i="17"/>
  <c r="W13" i="17" s="1"/>
  <c r="Y102" i="17"/>
  <c r="Q102" i="17" s="1"/>
  <c r="W102" i="17" s="1"/>
  <c r="O18" i="17" a="1"/>
  <c r="O18" i="17" s="1"/>
  <c r="O93" i="17" a="1"/>
  <c r="O93" i="17" s="1"/>
  <c r="O82" i="17" a="1"/>
  <c r="O82" i="17" s="1"/>
  <c r="O3" i="17" a="1"/>
  <c r="O3" i="17" s="1"/>
  <c r="N61" i="17" a="1"/>
  <c r="N61" i="17" s="1"/>
  <c r="N110" i="17" a="1"/>
  <c r="N110" i="17" s="1"/>
  <c r="N53" i="17" a="1"/>
  <c r="N53" i="17" s="1"/>
  <c r="N69" i="17" a="1"/>
  <c r="N69" i="17" s="1"/>
  <c r="N42" i="17" a="1"/>
  <c r="N42" i="17" s="1"/>
  <c r="N34" i="17" a="1"/>
  <c r="N34" i="17" s="1"/>
  <c r="N20" i="17" a="1"/>
  <c r="N20" i="17" s="1"/>
  <c r="Q19" i="17"/>
  <c r="W19" i="17" s="1"/>
  <c r="Y103" i="17"/>
  <c r="O10" i="17" a="1"/>
  <c r="O10" i="17" s="1"/>
  <c r="O72" i="17" a="1"/>
  <c r="O72" i="17" s="1"/>
  <c r="Q72" i="17" s="1"/>
  <c r="W72" i="17" s="1"/>
  <c r="O2" i="17" a="1"/>
  <c r="O2" i="17" s="1"/>
  <c r="N60" i="17" a="1"/>
  <c r="N60" i="17" s="1"/>
  <c r="N100" i="17" a="1"/>
  <c r="N100" i="17" s="1"/>
  <c r="N52" i="17" a="1"/>
  <c r="N52" i="17" s="1"/>
  <c r="N48" i="17" a="1"/>
  <c r="N48" i="17" s="1"/>
  <c r="N41" i="17" a="1"/>
  <c r="N41" i="17" s="1"/>
  <c r="N33" i="17" a="1"/>
  <c r="N33" i="17" s="1"/>
  <c r="Y14" i="17"/>
  <c r="Y4" i="17"/>
  <c r="Q4" i="17" s="1"/>
  <c r="W4" i="17" s="1"/>
  <c r="Q18" i="17"/>
  <c r="W18" i="17" s="1"/>
  <c r="Q93" i="17"/>
  <c r="W93" i="17" s="1"/>
  <c r="Q3" i="17"/>
  <c r="W3" i="17" s="1"/>
  <c r="N121" i="17" a="1"/>
  <c r="N121" i="17" s="1"/>
  <c r="N59" i="17" a="1"/>
  <c r="N59" i="17" s="1"/>
  <c r="N90" i="17" a="1"/>
  <c r="N90" i="17" s="1"/>
  <c r="N51" i="17" a="1"/>
  <c r="N51" i="17" s="1"/>
  <c r="N47" i="17" a="1"/>
  <c r="N47" i="17" s="1"/>
  <c r="N40" i="17" a="1"/>
  <c r="N40" i="17" s="1"/>
  <c r="N32" i="17" a="1"/>
  <c r="N32" i="17" s="1"/>
  <c r="N19" i="17" a="1"/>
  <c r="N19" i="17" s="1"/>
  <c r="Q83" i="17"/>
  <c r="W83" i="17" s="1"/>
  <c r="Q49" i="17"/>
  <c r="W49" i="17" s="1"/>
  <c r="Q97" i="17"/>
  <c r="W97" i="17" s="1"/>
  <c r="O15" i="17" a="1"/>
  <c r="O15" i="17" s="1"/>
  <c r="O73" i="17" a="1"/>
  <c r="O73" i="17" s="1"/>
  <c r="Q73" i="17" s="1"/>
  <c r="W73" i="17" s="1"/>
  <c r="O8" i="17" a="1"/>
  <c r="O8" i="17" s="1"/>
  <c r="Q8" i="17" s="1"/>
  <c r="W8" i="17" s="1"/>
  <c r="O7" i="17" a="1"/>
  <c r="O7" i="17" s="1"/>
  <c r="Q7" i="17" s="1"/>
  <c r="W7" i="17" s="1"/>
  <c r="N80" i="17" a="1"/>
  <c r="N80" i="17" s="1"/>
  <c r="N46" i="17" a="1"/>
  <c r="N46" i="17" s="1"/>
  <c r="N39" i="17" a="1"/>
  <c r="N39" i="17" s="1"/>
  <c r="N86" i="17" a="1"/>
  <c r="N86" i="17" s="1"/>
  <c r="N14" i="17" a="1"/>
  <c r="N14" i="17" s="1"/>
  <c r="Y82" i="17"/>
  <c r="Q82" i="17" s="1"/>
  <c r="W82" i="17" s="1"/>
  <c r="Q15" i="17"/>
  <c r="W15" i="17" s="1"/>
  <c r="Y28" i="17"/>
  <c r="Q28" i="17" s="1"/>
  <c r="W28" i="17" s="1"/>
  <c r="Q14" i="17"/>
  <c r="W14" i="17" s="1"/>
  <c r="Y110" i="17"/>
  <c r="Q110" i="17" s="1"/>
  <c r="W110" i="17" s="1"/>
  <c r="Q42" i="17"/>
  <c r="W42" i="17" s="1"/>
  <c r="Q86" i="17"/>
  <c r="W86" i="17" s="1"/>
  <c r="Y63" i="17"/>
  <c r="Q63" i="17" s="1"/>
  <c r="W63" i="17" s="1"/>
  <c r="N8" i="17" a="1"/>
  <c r="N8" i="17" s="1"/>
  <c r="N6" i="17" a="1"/>
  <c r="N6" i="17" s="1"/>
  <c r="Q112" i="17"/>
  <c r="W112" i="17" s="1"/>
  <c r="Q47" i="17"/>
  <c r="W47" i="17" s="1"/>
  <c r="Y88" i="17"/>
  <c r="Q88" i="17" s="1"/>
  <c r="W88" i="17" s="1"/>
  <c r="Q27" i="17"/>
  <c r="W27" i="17" s="1"/>
  <c r="Y65" i="17"/>
  <c r="Q65" i="17" s="1"/>
  <c r="W65" i="17" s="1"/>
  <c r="Y64" i="17"/>
  <c r="Q64" i="17" s="1"/>
  <c r="W64" i="17" s="1"/>
  <c r="Y62" i="17"/>
  <c r="Q62" i="17" s="1"/>
  <c r="W62" i="17" s="1"/>
  <c r="Q2" i="17"/>
  <c r="W2" i="17" s="1"/>
  <c r="Y60" i="17"/>
  <c r="Q60" i="17" s="1"/>
  <c r="W60" i="17" s="1"/>
  <c r="Q98" i="17"/>
  <c r="W98" i="17" s="1"/>
  <c r="Y52" i="17"/>
  <c r="Q52" i="17" s="1"/>
  <c r="W52" i="17" s="1"/>
  <c r="Y58" i="17"/>
  <c r="Q58" i="17" s="1"/>
  <c r="W58" i="17" s="1"/>
  <c r="Q45" i="17"/>
  <c r="W45" i="17" s="1"/>
  <c r="Q78" i="17"/>
  <c r="W78" i="17" s="1"/>
  <c r="Q113" i="17"/>
  <c r="W113" i="17" s="1"/>
  <c r="N116" i="17" a="1"/>
  <c r="N116" i="17" s="1"/>
  <c r="N115" i="17" a="1"/>
  <c r="N115" i="17" s="1"/>
  <c r="N25" i="17" a="1"/>
  <c r="N25" i="17" s="1"/>
  <c r="N114" i="17" a="1"/>
  <c r="N114" i="17" s="1"/>
  <c r="N18" i="17" a="1"/>
  <c r="N18" i="17" s="1"/>
  <c r="N102" i="17" a="1"/>
  <c r="N102" i="17" s="1"/>
  <c r="N3" i="17" a="1"/>
  <c r="N3" i="17" s="1"/>
  <c r="N92" i="17" a="1"/>
  <c r="N92" i="17" s="1"/>
  <c r="Q55" i="17"/>
  <c r="W55" i="17" s="1"/>
  <c r="Q85" i="17"/>
  <c r="W85" i="17" s="1"/>
  <c r="Q101" i="17"/>
  <c r="W101" i="17" s="1"/>
  <c r="Q57" i="17"/>
  <c r="W57" i="17" s="1"/>
  <c r="Q104" i="17"/>
  <c r="W104" i="17" s="1"/>
  <c r="Q103" i="17"/>
  <c r="W103" i="17" s="1"/>
  <c r="N44" i="17" a="1"/>
  <c r="N44" i="17" s="1"/>
  <c r="N117" i="17" a="1"/>
  <c r="N117" i="17" s="1"/>
  <c r="N37" i="17" a="1"/>
  <c r="N37" i="17" s="1"/>
  <c r="N31" i="17" a="1"/>
  <c r="N31" i="17" s="1"/>
  <c r="N24" i="17" a="1"/>
  <c r="N24" i="17" s="1"/>
  <c r="N104" i="17" a="1"/>
  <c r="N104" i="17" s="1"/>
  <c r="N17" i="17" a="1"/>
  <c r="N17" i="17" s="1"/>
  <c r="N82" i="17" a="1"/>
  <c r="N82" i="17" s="1"/>
  <c r="N2" i="17" a="1"/>
  <c r="N2" i="17" s="1"/>
  <c r="Q24" i="17"/>
  <c r="W24" i="17" s="1"/>
  <c r="Q46" i="17"/>
  <c r="W46" i="17" s="1"/>
  <c r="Q37" i="17"/>
  <c r="W37" i="17" s="1"/>
  <c r="Q105" i="17"/>
  <c r="W105" i="17" s="1"/>
  <c r="Q11" i="17"/>
  <c r="W11" i="17" s="1"/>
  <c r="Q92" i="17"/>
  <c r="W92" i="17" s="1"/>
  <c r="N50" i="17" a="1"/>
  <c r="N50" i="17" s="1"/>
  <c r="N49" i="17" a="1"/>
  <c r="N49" i="17" s="1"/>
  <c r="N118" i="17" a="1"/>
  <c r="N118" i="17" s="1"/>
  <c r="N43" i="17" a="1"/>
  <c r="N43" i="17" s="1"/>
  <c r="N106" i="17" a="1"/>
  <c r="N106" i="17" s="1"/>
  <c r="N30" i="17" a="1"/>
  <c r="N30" i="17" s="1"/>
  <c r="N94" i="17" a="1"/>
  <c r="N94" i="17" s="1"/>
  <c r="N93" i="17" a="1"/>
  <c r="N93" i="17" s="1"/>
  <c r="Q111" i="17"/>
  <c r="W111" i="17" s="1"/>
  <c r="Q32" i="17"/>
  <c r="W32" i="17" s="1"/>
  <c r="Q69" i="17"/>
  <c r="W69" i="17" s="1"/>
  <c r="Q30" i="17"/>
  <c r="W30" i="17" s="1"/>
  <c r="Q50" i="17"/>
  <c r="W50" i="17" s="1"/>
  <c r="Y106" i="17"/>
  <c r="Q106" i="17" s="1"/>
  <c r="W106" i="17" s="1"/>
  <c r="Y10" i="17"/>
  <c r="Q10" i="17" s="1"/>
  <c r="W10" i="17" s="1"/>
  <c r="N119" i="17" a="1"/>
  <c r="N119" i="17" s="1"/>
  <c r="N108" i="17" a="1"/>
  <c r="N108" i="17" s="1"/>
  <c r="N36" i="17" a="1"/>
  <c r="N36" i="17" s="1"/>
  <c r="N96" i="17" a="1"/>
  <c r="N96" i="17" s="1"/>
  <c r="N29" i="17" a="1"/>
  <c r="N29" i="17" s="1"/>
  <c r="N95" i="17" a="1"/>
  <c r="N95" i="17" s="1"/>
  <c r="N16" i="17" a="1"/>
  <c r="N16" i="17" s="1"/>
  <c r="N83" i="17" a="1"/>
  <c r="N83" i="17" s="1"/>
  <c r="N10" i="17" a="1"/>
  <c r="N10" i="17" s="1"/>
  <c r="Q119" i="17"/>
  <c r="W119" i="17" s="1"/>
  <c r="Y108" i="17"/>
  <c r="Q108" i="17" s="1"/>
  <c r="W108" i="17" s="1"/>
  <c r="Q41" i="17"/>
  <c r="W41" i="17" s="1"/>
  <c r="Q107" i="17"/>
  <c r="W107" i="17" s="1"/>
  <c r="Y16" i="17"/>
  <c r="Q16" i="17" s="1"/>
  <c r="W16" i="17" s="1"/>
  <c r="N35" i="17" a="1"/>
  <c r="N35" i="17" s="1"/>
  <c r="N28" i="17" a="1"/>
  <c r="N28" i="17" s="1"/>
  <c r="N84" i="17" a="1"/>
  <c r="N84" i="17" s="1"/>
  <c r="N15" i="17" a="1"/>
  <c r="N15" i="17" s="1"/>
  <c r="N73" i="17" a="1"/>
  <c r="N73" i="17" s="1"/>
  <c r="N9" i="17" a="1"/>
  <c r="N9" i="17" s="1"/>
  <c r="Q61" i="17"/>
  <c r="W61" i="17" s="1"/>
  <c r="Y109" i="17"/>
  <c r="Q109" i="17" s="1"/>
  <c r="W109" i="17" s="1"/>
  <c r="Y48" i="17"/>
  <c r="Q48" i="17" s="1"/>
  <c r="W48" i="17" s="1"/>
  <c r="Q35" i="17"/>
  <c r="W35" i="17" s="1"/>
  <c r="N27" i="17" a="1"/>
  <c r="N27" i="17" s="1"/>
  <c r="N85" i="17" a="1"/>
  <c r="N85" i="17" s="1"/>
  <c r="N21" i="17" a="1"/>
  <c r="N21" i="17" s="1"/>
  <c r="N74" i="17" a="1"/>
  <c r="N74" i="17" s="1"/>
  <c r="N63" i="17" a="1"/>
  <c r="N63" i="17" s="1"/>
  <c r="N4" i="17" a="1"/>
  <c r="N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uizm\OneDrive\documents\2021-2\pesquisa operacional para engenharia\arena\transportadores_model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uizm\OneDrive\documents\2021-2\pesquisa operacional para engenharia\arena\transportadores_model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uizm\OneDrive\documents\2021-2\pesquisa operacional para engenharia\arena\transportadores_model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uizm\OneDrive\documents\2021-2\pesquisa operacional para engenharia\arena\transportadores_model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uizm\OneDrive\documents\2021-2\pesquisa operacional para engenharia\arena\transportadores_model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uizm\OneDrive\documents\2021-2\pesquisa operacional para engenharia\arena\transportadores_model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<sst xmlns="http://schemas.openxmlformats.org/spreadsheetml/2006/main" count="1854" uniqueCount="106">
  <si>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</si>
  <si>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</si>
  <si>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</si>
  <si>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</si>
  <si>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</si>
  <si>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</si>
  <si>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</si>
  <si>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</si>
  <si>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</si>
  <si>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</si>
  <si>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</si>
  <si>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</si>
  <si>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</si>
  <si>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</si>
  <si>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</si>
  <si>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</si>
  <si>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</si>
  <si>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</si>
  <si>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</si>
  <si>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</si>
  <si>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</si>
  <si>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</si>
  <si>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</si>
  <si>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</si>
  <si>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</si>
  <si>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</si>
  <si>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</si>
  <si>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</si>
  <si>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</si>
  <si>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</si>
  <si>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</si>
  <si>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</si>
  <si>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</si>
  <si>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</si>
  <si>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</si>
  <si>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</si>
  <si>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</si>
  <si>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</si>
  <si>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</si>
  <si>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</si>
  <si>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</si>
  <si>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</si>
  <si>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</si>
  <si>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</si>
  <si>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</si>
  <si>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</si>
  <si>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</si>
  <si>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</si>
  <si>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</si>
  <si>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</si>
  <si>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</si>
  <si>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</si>
  <si>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</si>
  <si>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</si>
  <si>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</si>
  <si>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</si>
  <si>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</si>
  <si>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</si>
  <si>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</si>
  <si>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</si>
  <si>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</si>
  <si>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</si>
  <si>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</si>
  <si>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</si>
  <si>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</si>
  <si>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</si>
  <si>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</si>
  <si>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C:\Users\luizm\OneDrive\Documents\2021-2\Pesquisa Operacional para Engenharia\Arena\Transportadores_modelo.p</t>
  </si>
  <si>
    <t>2023-01-03 20:25:18</t>
  </si>
  <si>
    <t>PECAS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</si>
  <si>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</si>
  <si>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</si>
  <si>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</si>
  <si>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</si>
  <si>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</si>
  <si>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</si>
  <si>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</si>
  <si>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Processo Maquina A.Queue</t>
  </si>
  <si>
    <t>Waiting Time</t>
  </si>
  <si>
    <t>Queue</t>
  </si>
  <si>
    <t>Processo Reparo.Queue</t>
  </si>
  <si>
    <t>Request 1.Queue</t>
  </si>
  <si>
    <t>Request 2.Queue</t>
  </si>
  <si>
    <t>Request 3.Queue</t>
  </si>
  <si>
    <t>Request 4.Queue</t>
  </si>
  <si>
    <t>Operador Maquina A</t>
  </si>
  <si>
    <t>Instantaneous Utilization</t>
  </si>
  <si>
    <t>Resource</t>
  </si>
  <si>
    <t>Number Busy</t>
  </si>
  <si>
    <t>Number Scheduled</t>
  </si>
  <si>
    <t>WIP</t>
  </si>
  <si>
    <t>Number Waiting</t>
  </si>
  <si>
    <t>Reparador</t>
  </si>
  <si>
    <t>Operador Maquina A.NumberSeized</t>
  </si>
  <si>
    <t>Total Number Seized</t>
  </si>
  <si>
    <t>Operador Maquina A.ScheduledUtilization</t>
  </si>
  <si>
    <t>Scheduled Utilization</t>
  </si>
  <si>
    <t>PECAS.NumberIn</t>
  </si>
  <si>
    <t>Number In</t>
  </si>
  <si>
    <t>PECAS.NumberOut</t>
  </si>
  <si>
    <t>Number Out</t>
  </si>
  <si>
    <t>Reparador.NumberSeized</t>
  </si>
  <si>
    <t>Reparador.ScheduledUtilization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</si>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</sst>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4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29.851046296295" createdVersion="7" refreshedVersion="8" minRefreshableVersion="3" recordCount="13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33">
        <s v="Operador Maquina A"/>
        <s v="PECAS"/>
        <s v="Processo Maquina A.Queue"/>
        <s v="Processo Reparo.Queue"/>
        <s v="Reparador"/>
        <s v="Request 1.Queue"/>
        <s v="Request 2.Queue"/>
        <s v="Request 3.Queue"/>
        <s v="Request 4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2.2069141604617899E-5" maxValue="2.9760434619251201"/>
    </cacheField>
    <cacheField name="BatchMeansHalfWidth" numFmtId="0">
      <sharedItems containsSemiMixedTypes="0" containsString="0" containsNumber="1" minValue="2.18492376098906E-2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6"/>
    </cacheField>
    <cacheField name="LastRecordedValue" numFmtId="0">
      <sharedItems containsSemiMixedTypes="0" containsString="0" containsNumber="1" containsInteger="1" minValue="0" maxValue="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2.4336341708480142E-4" maxValue="2.5818229074561265"/>
    </cacheField>
    <cacheField name="StDevOfAverage" numFmtId="0">
      <sharedItems containsSemiMixedTypes="0" containsString="0" containsNumber="1" minValue="0" maxValue="0.2552199420267372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8257334807025916"/>
    </cacheField>
    <cacheField name="MinimumAverage" numFmtId="0">
      <sharedItems containsSemiMixedTypes="0" containsString="0" containsNumber="1" minValue="2.2069141604617899E-5" maxValue="2.2160183111888898"/>
    </cacheField>
    <cacheField name="MaximumAverage" numFmtId="0">
      <sharedItems containsSemiMixedTypes="0" containsString="0" containsNumber="1" minValue="6.2059425224605404E-4" maxValue="2.9760434619251201"/>
    </cacheField>
    <cacheField name="SummaryHalfWidth" numFmtId="0">
      <sharedItems containsSemiMixedTypes="0" containsString="0" containsNumber="1" minValue="0" maxValue="0.182573348070259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29.851046759257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29.851047222219" createdVersion="7" refreshedVersion="8" minRefreshableVersion="3" recordCount="12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06">
        <s v="PECAS"/>
        <s v="Processo Maquina A.Queue"/>
        <s v="Processo Reparo.Queue"/>
        <s v="Request 1.Queue"/>
        <s v="Request 2.Queue"/>
        <s v="Request 3.Queue"/>
        <s v="Request 4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1.9831875498628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3.72615438515595"/>
    </cacheField>
    <cacheField name="Maximum" numFmtId="0">
      <sharedItems containsSemiMixedTypes="0" containsString="0" containsNumber="1" minValue="0" maxValue="48.198252011387503"/>
    </cacheField>
    <cacheField name="NumberObservations" numFmtId="0">
      <sharedItems containsSemiMixedTypes="0" containsString="0" containsNumber="1" containsInteger="1" minValue="177" maxValue="522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10.248566869258447"/>
    </cacheField>
    <cacheField name="StDevOfAverage" numFmtId="0">
      <sharedItems containsSemiMixedTypes="0" containsString="0" containsNumber="1" minValue="0" maxValue="0.9356204992128841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66930258547965749"/>
    </cacheField>
    <cacheField name="MinimumAverage" numFmtId="0">
      <sharedItems containsSemiMixedTypes="0" containsString="0" containsNumber="1" minValue="0" maxValue="9.1721960352190095"/>
    </cacheField>
    <cacheField name="MaximumAverage" numFmtId="0">
      <sharedItems containsSemiMixedTypes="0" containsString="0" containsNumber="1" minValue="0" maxValue="11.9831875498628"/>
    </cacheField>
    <cacheField name="OverallMinimum" numFmtId="0">
      <sharedItems containsSemiMixedTypes="0" containsString="0" containsNumber="1" minValue="0" maxValue="3.4276236864520802"/>
    </cacheField>
    <cacheField name="OverallMaximum" numFmtId="0">
      <sharedItems containsSemiMixedTypes="0" containsString="0" containsNumber="1" minValue="0" maxValue="48.198252011387503"/>
    </cacheField>
    <cacheField name="AverageNumberObservations" numFmtId="0">
      <sharedItems containsSemiMixedTypes="0" containsString="0" containsNumber="1" minValue="199.2" maxValue="504.6"/>
    </cacheField>
    <cacheField name="SummaryHalfWidth" numFmtId="0">
      <sharedItems containsSemiMixedTypes="0" containsString="0" containsNumber="1" minValue="0" maxValue="0.66930258547965749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29.851047569442" createdVersion="7" refreshedVersion="8" minRefreshableVersion="3" recordCount="7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85">
        <s v="Operador Maquina A.NumberSeized"/>
        <s v="Operador Maquina A.ScheduledUtilization"/>
        <s v="PECAS.NumberIn"/>
        <s v="PECAS.NumberOut"/>
        <s v="Reparador.NumberSeized"/>
        <s v="Reparado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17745123836948901" maxValue="52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19913181661081703" maxValue="504.6"/>
    </cacheField>
    <cacheField name="StandardDeviation" numFmtId="0">
      <sharedItems containsSemiMixedTypes="0" containsString="0" containsNumber="1" minValue="1.2869584853188797E-2" maxValue="15.41427909439815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9.2063464017040682E-3" maxValue="11.026711000736963"/>
    </cacheField>
    <cacheField name="Minimum" numFmtId="0">
      <sharedItems containsSemiMixedTypes="0" containsString="0" containsNumber="1" minValue="0.17745123836948901" maxValue="471"/>
    </cacheField>
    <cacheField name="Maximum" numFmtId="0">
      <sharedItems containsSemiMixedTypes="0" containsString="0" containsNumber="1" minValue="0.211848867954925" maxValue="5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29.851047800927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s v="2023-01-03 20:25:18"/>
    <n v="1"/>
    <x v="0"/>
    <x v="0"/>
    <x v="0"/>
    <n v="0.75583120438763196"/>
    <n v="2E+20"/>
    <n v="0"/>
    <n v="1"/>
    <n v="1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1"/>
    <x v="0"/>
    <x v="1"/>
    <x v="0"/>
    <n v="0.75583120438763196"/>
    <n v="2E+20"/>
    <n v="0"/>
    <n v="1"/>
    <n v="1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1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1"/>
    <x v="1"/>
    <x v="3"/>
    <x v="1"/>
    <n v="2.6218076203044798"/>
    <n v="0.50842360156543498"/>
    <n v="0"/>
    <n v="10"/>
    <n v="4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1"/>
    <x v="2"/>
    <x v="4"/>
    <x v="2"/>
    <n v="1.2324867778880499"/>
    <n v="0.40200862382541003"/>
    <n v="0"/>
    <n v="8"/>
    <n v="1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1"/>
    <x v="3"/>
    <x v="4"/>
    <x v="2"/>
    <n v="5.4787058325911201E-4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1"/>
    <x v="4"/>
    <x v="0"/>
    <x v="0"/>
    <n v="0.19490866254945699"/>
    <n v="2.7385993942579401E-2"/>
    <n v="0"/>
    <n v="1"/>
    <n v="0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1"/>
    <x v="4"/>
    <x v="1"/>
    <x v="0"/>
    <n v="0.19490866254945699"/>
    <n v="2.7385993942579401E-2"/>
    <n v="0"/>
    <n v="1"/>
    <n v="0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1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1"/>
    <x v="5"/>
    <x v="4"/>
    <x v="2"/>
    <n v="4.6665409615817104E-3"/>
    <n v="2E+20"/>
    <n v="0"/>
    <n v="2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1"/>
    <x v="6"/>
    <x v="4"/>
    <x v="2"/>
    <n v="1.8163374909025999E-3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1"/>
    <x v="7"/>
    <x v="4"/>
    <x v="2"/>
    <n v="1.78688869193974E-3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1"/>
    <x v="8"/>
    <x v="4"/>
    <x v="2"/>
    <n v="1.3643800218327399E-3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2"/>
    <x v="0"/>
    <x v="0"/>
    <x v="0"/>
    <n v="0.77256234134644597"/>
    <n v="2E+20"/>
    <n v="0"/>
    <n v="1"/>
    <n v="1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2"/>
    <x v="0"/>
    <x v="1"/>
    <x v="0"/>
    <n v="0.77256234134644597"/>
    <n v="2E+20"/>
    <n v="0"/>
    <n v="1"/>
    <n v="1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2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2"/>
    <x v="1"/>
    <x v="3"/>
    <x v="1"/>
    <n v="2.4441582690249599"/>
    <n v="0.37594198132571599"/>
    <n v="0"/>
    <n v="8"/>
    <n v="8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2"/>
    <x v="2"/>
    <x v="4"/>
    <x v="2"/>
    <n v="1.01132270893958"/>
    <n v="0.30182100529546801"/>
    <n v="0"/>
    <n v="6"/>
    <n v="4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2"/>
    <x v="3"/>
    <x v="4"/>
    <x v="2"/>
    <n v="2.0088565851929699E-4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2"/>
    <x v="4"/>
    <x v="0"/>
    <x v="0"/>
    <n v="0.20937243642484701"/>
    <n v="2.2685424292862098E-2"/>
    <n v="0"/>
    <n v="1"/>
    <n v="0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2"/>
    <x v="4"/>
    <x v="1"/>
    <x v="0"/>
    <n v="0.20937243642484701"/>
    <n v="2.2685424292862098E-2"/>
    <n v="0"/>
    <n v="1"/>
    <n v="0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2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2"/>
    <x v="5"/>
    <x v="4"/>
    <x v="2"/>
    <n v="4.9905590146334996E-3"/>
    <n v="2E+20"/>
    <n v="0"/>
    <n v="2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2"/>
    <x v="6"/>
    <x v="4"/>
    <x v="2"/>
    <n v="1.44859183909911E-3"/>
    <n v="2E+20"/>
    <n v="0"/>
    <n v="1"/>
    <n v="1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2"/>
    <x v="7"/>
    <x v="4"/>
    <x v="2"/>
    <n v="9.6572671051410499E-4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2"/>
    <x v="8"/>
    <x v="4"/>
    <x v="2"/>
    <n v="1.3428614137158601E-3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3"/>
    <x v="0"/>
    <x v="0"/>
    <x v="0"/>
    <n v="0.777818399763752"/>
    <n v="2E+20"/>
    <n v="0"/>
    <n v="1"/>
    <n v="0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3"/>
    <x v="0"/>
    <x v="1"/>
    <x v="0"/>
    <n v="0.777818399763752"/>
    <n v="2E+20"/>
    <n v="0"/>
    <n v="1"/>
    <n v="0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3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3"/>
    <x v="1"/>
    <x v="3"/>
    <x v="1"/>
    <n v="2.6250082791546498"/>
    <n v="0.42859742616598001"/>
    <n v="0"/>
    <n v="10"/>
    <n v="0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3"/>
    <x v="2"/>
    <x v="4"/>
    <x v="2"/>
    <n v="1.1868874743075299"/>
    <n v="0.34219095243974401"/>
    <n v="0"/>
    <n v="8"/>
    <n v="0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3"/>
    <x v="3"/>
    <x v="4"/>
    <x v="2"/>
    <n v="3.64177802805102E-4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3"/>
    <x v="4"/>
    <x v="0"/>
    <x v="0"/>
    <n v="0.205747048887229"/>
    <n v="2.8700647169569601E-2"/>
    <n v="0"/>
    <n v="1"/>
    <n v="0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3"/>
    <x v="4"/>
    <x v="1"/>
    <x v="0"/>
    <n v="0.205747048887229"/>
    <n v="2.8700647169569601E-2"/>
    <n v="0"/>
    <n v="1"/>
    <n v="0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3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3"/>
    <x v="5"/>
    <x v="4"/>
    <x v="2"/>
    <n v="6.7743819151736204E-3"/>
    <n v="2E+20"/>
    <n v="0"/>
    <n v="2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3"/>
    <x v="6"/>
    <x v="4"/>
    <x v="2"/>
    <n v="1.7565891270079699E-3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3"/>
    <x v="7"/>
    <x v="4"/>
    <x v="2"/>
    <n v="1.1989911445316199E-3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3"/>
    <x v="8"/>
    <x v="4"/>
    <x v="2"/>
    <n v="1.35704953992013E-3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4"/>
    <x v="0"/>
    <x v="0"/>
    <x v="0"/>
    <n v="0.76672532734546595"/>
    <n v="2E+20"/>
    <n v="0"/>
    <n v="1"/>
    <n v="0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4"/>
    <x v="0"/>
    <x v="1"/>
    <x v="0"/>
    <n v="0.76672532734546595"/>
    <n v="2E+20"/>
    <n v="0"/>
    <n v="1"/>
    <n v="0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4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4"/>
    <x v="1"/>
    <x v="3"/>
    <x v="1"/>
    <n v="2.7355958779275"/>
    <n v="3E+20"/>
    <n v="0"/>
    <n v="11"/>
    <n v="1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4"/>
    <x v="2"/>
    <x v="4"/>
    <x v="2"/>
    <n v="1.3323863953564501"/>
    <n v="3E+20"/>
    <n v="0"/>
    <n v="9"/>
    <n v="0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4"/>
    <x v="3"/>
    <x v="4"/>
    <x v="2"/>
    <n v="2.5015520425796699E-4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4"/>
    <x v="4"/>
    <x v="0"/>
    <x v="0"/>
    <n v="0.190863569025468"/>
    <n v="2.8930087617489799E-2"/>
    <n v="0"/>
    <n v="1"/>
    <n v="1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4"/>
    <x v="4"/>
    <x v="1"/>
    <x v="0"/>
    <n v="0.190863569025468"/>
    <n v="2.8930087617489799E-2"/>
    <n v="0"/>
    <n v="1"/>
    <n v="1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4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4"/>
    <x v="5"/>
    <x v="4"/>
    <x v="2"/>
    <n v="4.4590956738022498E-3"/>
    <n v="2E+20"/>
    <n v="0"/>
    <n v="2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4"/>
    <x v="6"/>
    <x v="4"/>
    <x v="2"/>
    <n v="2.83347119475641E-3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4"/>
    <x v="7"/>
    <x v="4"/>
    <x v="2"/>
    <n v="3.9608330686738202E-4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4"/>
    <x v="8"/>
    <x v="4"/>
    <x v="2"/>
    <n v="1.0567808203975301E-3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5"/>
    <x v="0"/>
    <x v="0"/>
    <x v="0"/>
    <n v="0.75159746343030698"/>
    <n v="2E+20"/>
    <n v="0"/>
    <n v="1"/>
    <n v="0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5"/>
    <x v="0"/>
    <x v="1"/>
    <x v="0"/>
    <n v="0.75159746343030698"/>
    <n v="2E+20"/>
    <n v="0"/>
    <n v="1"/>
    <n v="0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5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5"/>
    <x v="1"/>
    <x v="3"/>
    <x v="1"/>
    <n v="2.5547178488536502"/>
    <n v="3E+20"/>
    <n v="0"/>
    <n v="16"/>
    <n v="0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5"/>
    <x v="2"/>
    <x v="4"/>
    <x v="2"/>
    <n v="1.1501508077665401"/>
    <n v="3E+20"/>
    <n v="0"/>
    <n v="13"/>
    <n v="0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5"/>
    <x v="3"/>
    <x v="4"/>
    <x v="2"/>
    <n v="6.2059425224605404E-4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5"/>
    <x v="4"/>
    <x v="0"/>
    <x v="0"/>
    <n v="0.21123497165778701"/>
    <n v="3.5524137648065897E-2"/>
    <n v="0"/>
    <n v="1"/>
    <n v="0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5"/>
    <x v="4"/>
    <x v="1"/>
    <x v="0"/>
    <n v="0.21123497165778701"/>
    <n v="3.5524137648065897E-2"/>
    <n v="0"/>
    <n v="1"/>
    <n v="0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5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5"/>
    <x v="5"/>
    <x v="4"/>
    <x v="2"/>
    <n v="3.9495059241552903E-3"/>
    <n v="2E+20"/>
    <n v="0"/>
    <n v="2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5"/>
    <x v="6"/>
    <x v="4"/>
    <x v="2"/>
    <n v="9.0309102424266697E-4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5"/>
    <x v="7"/>
    <x v="4"/>
    <x v="2"/>
    <n v="1.2378018892421801E-3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5"/>
    <x v="8"/>
    <x v="4"/>
    <x v="2"/>
    <n v="1.3777795757689E-3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6"/>
    <x v="0"/>
    <x v="0"/>
    <x v="0"/>
    <n v="0.73109963996995297"/>
    <n v="2E+20"/>
    <n v="0"/>
    <n v="1"/>
    <n v="1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6"/>
    <x v="0"/>
    <x v="1"/>
    <x v="0"/>
    <n v="0.73109963996995297"/>
    <n v="2E+20"/>
    <n v="0"/>
    <n v="1"/>
    <n v="1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6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6"/>
    <x v="1"/>
    <x v="3"/>
    <x v="1"/>
    <n v="2.9760434619251201"/>
    <n v="3E+20"/>
    <n v="0"/>
    <n v="16"/>
    <n v="2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6"/>
    <x v="2"/>
    <x v="4"/>
    <x v="2"/>
    <n v="1.6405547501891999"/>
    <n v="3E+20"/>
    <n v="0"/>
    <n v="14"/>
    <n v="0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6"/>
    <x v="3"/>
    <x v="4"/>
    <x v="2"/>
    <n v="2.2069141604617899E-5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6"/>
    <x v="4"/>
    <x v="0"/>
    <x v="0"/>
    <n v="0.17745123836948901"/>
    <n v="2.18492376098906E-2"/>
    <n v="0"/>
    <n v="1"/>
    <n v="0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6"/>
    <x v="4"/>
    <x v="1"/>
    <x v="0"/>
    <n v="0.17745123836948901"/>
    <n v="2.18492376098906E-2"/>
    <n v="0"/>
    <n v="1"/>
    <n v="0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6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6"/>
    <x v="5"/>
    <x v="4"/>
    <x v="2"/>
    <n v="3.2120131992165002E-3"/>
    <n v="2E+20"/>
    <n v="0"/>
    <n v="1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6"/>
    <x v="6"/>
    <x v="4"/>
    <x v="2"/>
    <n v="7.20972505524855E-4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6"/>
    <x v="7"/>
    <x v="4"/>
    <x v="2"/>
    <n v="1.25846147023363E-3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6"/>
    <x v="8"/>
    <x v="4"/>
    <x v="2"/>
    <n v="8.6769614404101896E-4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7"/>
    <x v="0"/>
    <x v="0"/>
    <x v="0"/>
    <n v="0.71419407115187294"/>
    <n v="2E+20"/>
    <n v="0"/>
    <n v="1"/>
    <n v="1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7"/>
    <x v="0"/>
    <x v="1"/>
    <x v="0"/>
    <n v="0.71419407115187294"/>
    <n v="2E+20"/>
    <n v="0"/>
    <n v="1"/>
    <n v="1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7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7"/>
    <x v="1"/>
    <x v="3"/>
    <x v="1"/>
    <n v="2.2160183111888898"/>
    <n v="0.48180477611046801"/>
    <n v="0"/>
    <n v="9"/>
    <n v="1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7"/>
    <x v="2"/>
    <x v="4"/>
    <x v="2"/>
    <n v="0.91612145892672103"/>
    <n v="0.38318867030863402"/>
    <n v="0"/>
    <n v="8"/>
    <n v="0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7"/>
    <x v="3"/>
    <x v="4"/>
    <x v="2"/>
    <n v="4.2609425515024703E-5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7"/>
    <x v="4"/>
    <x v="0"/>
    <x v="0"/>
    <n v="0.17915015177023799"/>
    <n v="3E+20"/>
    <n v="0"/>
    <n v="1"/>
    <n v="0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7"/>
    <x v="4"/>
    <x v="1"/>
    <x v="0"/>
    <n v="0.17915015177023799"/>
    <n v="3E+20"/>
    <n v="0"/>
    <n v="1"/>
    <n v="0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7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7"/>
    <x v="5"/>
    <x v="4"/>
    <x v="2"/>
    <n v="4.6860332584123601E-3"/>
    <n v="2E+20"/>
    <n v="0"/>
    <n v="1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7"/>
    <x v="6"/>
    <x v="4"/>
    <x v="2"/>
    <n v="1.75222110225108E-3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7"/>
    <x v="7"/>
    <x v="4"/>
    <x v="2"/>
    <n v="1.18503964296497E-3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7"/>
    <x v="8"/>
    <x v="4"/>
    <x v="2"/>
    <n v="1.9922591088506199E-4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8"/>
    <x v="0"/>
    <x v="0"/>
    <x v="0"/>
    <n v="0.75191681647388897"/>
    <n v="2E+20"/>
    <n v="0"/>
    <n v="1"/>
    <n v="1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8"/>
    <x v="0"/>
    <x v="1"/>
    <x v="0"/>
    <n v="0.75191681647388897"/>
    <n v="2E+20"/>
    <n v="0"/>
    <n v="1"/>
    <n v="1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8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8"/>
    <x v="1"/>
    <x v="3"/>
    <x v="1"/>
    <n v="2.2956179370517602"/>
    <n v="0.35101657591239899"/>
    <n v="0"/>
    <n v="8"/>
    <n v="4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8"/>
    <x v="2"/>
    <x v="4"/>
    <x v="2"/>
    <n v="0.89935067686704995"/>
    <n v="0.25466874649190302"/>
    <n v="0"/>
    <n v="6"/>
    <n v="2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8"/>
    <x v="3"/>
    <x v="4"/>
    <x v="2"/>
    <n v="2.2659902935606599E-4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8"/>
    <x v="4"/>
    <x v="0"/>
    <x v="0"/>
    <n v="0.20583759426287199"/>
    <n v="3E+20"/>
    <n v="0"/>
    <n v="1"/>
    <n v="1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8"/>
    <x v="4"/>
    <x v="1"/>
    <x v="0"/>
    <n v="0.20583759426287199"/>
    <n v="3E+20"/>
    <n v="0"/>
    <n v="1"/>
    <n v="1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8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8"/>
    <x v="5"/>
    <x v="4"/>
    <x v="2"/>
    <n v="5.6882313224783203E-3"/>
    <n v="2E+20"/>
    <n v="0"/>
    <n v="2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8"/>
    <x v="6"/>
    <x v="4"/>
    <x v="2"/>
    <n v="1.02081229191186E-3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8"/>
    <x v="7"/>
    <x v="4"/>
    <x v="2"/>
    <n v="1.3534006939048501E-3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8"/>
    <x v="8"/>
    <x v="4"/>
    <x v="2"/>
    <n v="1.59880611026807E-3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9"/>
    <x v="0"/>
    <x v="0"/>
    <x v="0"/>
    <n v="0.77930529942358095"/>
    <n v="2E+20"/>
    <n v="0"/>
    <n v="1"/>
    <n v="1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9"/>
    <x v="0"/>
    <x v="1"/>
    <x v="0"/>
    <n v="0.77930529942358095"/>
    <n v="2E+20"/>
    <n v="0"/>
    <n v="1"/>
    <n v="1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9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9"/>
    <x v="1"/>
    <x v="3"/>
    <x v="1"/>
    <n v="2.9494726286728401"/>
    <n v="3E+20"/>
    <n v="0"/>
    <n v="12"/>
    <n v="1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9"/>
    <x v="2"/>
    <x v="4"/>
    <x v="2"/>
    <n v="1.5111413281964099"/>
    <n v="3E+20"/>
    <n v="0"/>
    <n v="10"/>
    <n v="0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9"/>
    <x v="3"/>
    <x v="4"/>
    <x v="2"/>
    <n v="4.8872446910309001E-5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9"/>
    <x v="4"/>
    <x v="0"/>
    <x v="0"/>
    <n v="0.204903625205858"/>
    <n v="2.3524218817059999E-2"/>
    <n v="0"/>
    <n v="1"/>
    <n v="0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9"/>
    <x v="4"/>
    <x v="1"/>
    <x v="0"/>
    <n v="0.204903625205858"/>
    <n v="2.3524218817059999E-2"/>
    <n v="0"/>
    <n v="1"/>
    <n v="0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9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9"/>
    <x v="5"/>
    <x v="4"/>
    <x v="2"/>
    <n v="5.4978957612089596E-3"/>
    <n v="2E+20"/>
    <n v="0"/>
    <n v="2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9"/>
    <x v="6"/>
    <x v="4"/>
    <x v="2"/>
    <n v="1.7816810648360101E-3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9"/>
    <x v="7"/>
    <x v="4"/>
    <x v="2"/>
    <n v="9.6025571434074002E-4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9"/>
    <x v="8"/>
    <x v="4"/>
    <x v="2"/>
    <n v="1.39617085966669E-3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  <r>
    <x v="0"/>
    <s v="2023-01-03 20:25:18"/>
    <n v="10"/>
    <x v="0"/>
    <x v="0"/>
    <x v="0"/>
    <n v="0.725995399076098"/>
    <n v="2E+20"/>
    <n v="0"/>
    <n v="1"/>
    <n v="1"/>
    <n v="0"/>
    <s v="Unnamed ProjectOperador Maquina AInstantaneous Utilization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10"/>
    <x v="0"/>
    <x v="1"/>
    <x v="0"/>
    <n v="0.725995399076098"/>
    <n v="2E+20"/>
    <n v="0"/>
    <n v="1"/>
    <n v="1"/>
    <n v="0"/>
    <s v="Unnamed ProjectOperador Maquina ANumber BusyResource"/>
    <n v="10"/>
    <n v="0.75270459623689956"/>
    <n v="2.2617715250553498E-2"/>
    <n v="0.95"/>
    <n v="1.6179738801761465E-2"/>
    <n v="0.71419407115187294"/>
    <n v="0.77930529942358095"/>
    <n v="1.6179738801761465E-2"/>
  </r>
  <r>
    <x v="0"/>
    <s v="2023-01-03 20:25:18"/>
    <n v="10"/>
    <x v="0"/>
    <x v="2"/>
    <x v="0"/>
    <n v="1"/>
    <n v="2E+20"/>
    <n v="1"/>
    <n v="1"/>
    <n v="1"/>
    <n v="0"/>
    <s v="Unnamed ProjectOperador Maquina ANumber ScheduledResource"/>
    <n v="10"/>
    <n v="1"/>
    <n v="0"/>
    <n v="0.95"/>
    <n v="0"/>
    <n v="1"/>
    <n v="1"/>
    <n v="0"/>
  </r>
  <r>
    <x v="0"/>
    <s v="2023-01-03 20:25:18"/>
    <n v="10"/>
    <x v="1"/>
    <x v="3"/>
    <x v="1"/>
    <n v="2.3997888404574201"/>
    <n v="0.45069232936792603"/>
    <n v="0"/>
    <n v="10"/>
    <n v="2"/>
    <n v="0"/>
    <s v="Unnamed ProjectPECASWIPEntity"/>
    <n v="10"/>
    <n v="2.5818229074561265"/>
    <n v="0.25521994202673726"/>
    <n v="0.95"/>
    <n v="0.18257334807025916"/>
    <n v="2.2160183111888898"/>
    <n v="2.9760434619251201"/>
    <n v="0.18257334807025916"/>
  </r>
  <r>
    <x v="0"/>
    <s v="2023-01-03 20:25:18"/>
    <n v="10"/>
    <x v="2"/>
    <x v="4"/>
    <x v="2"/>
    <n v="1.0277043859452999"/>
    <n v="0.376583746005063"/>
    <n v="0"/>
    <n v="8"/>
    <n v="1"/>
    <n v="0"/>
    <s v="Unnamed ProjectProcesso Maquina A.QueueNumber WaitingQueue"/>
    <n v="10"/>
    <n v="1.1908106764382831"/>
    <n v="0.24665615888133285"/>
    <n v="0.95"/>
    <n v="0.17644718665595893"/>
    <n v="0.89935067686704995"/>
    <n v="1.6405547501891999"/>
    <n v="0.17644718665595893"/>
  </r>
  <r>
    <x v="0"/>
    <s v="2023-01-03 20:25:18"/>
    <n v="10"/>
    <x v="3"/>
    <x v="4"/>
    <x v="2"/>
    <n v="1.09800626374465E-4"/>
    <n v="2E+20"/>
    <n v="0"/>
    <n v="1"/>
    <n v="0"/>
    <n v="0"/>
    <s v="Unnamed ProjectProcesso Reparo.QueueNumber WaitingQueue"/>
    <n v="10"/>
    <n v="2.4336341708480142E-4"/>
    <n v="2.0994561309482535E-4"/>
    <n v="0.95"/>
    <n v="1.5018604420562854E-4"/>
    <n v="2.2069141604617899E-5"/>
    <n v="6.2059425224605404E-4"/>
    <n v="1.5018604420562854E-4"/>
  </r>
  <r>
    <x v="0"/>
    <s v="2023-01-03 20:25:18"/>
    <n v="10"/>
    <x v="4"/>
    <x v="0"/>
    <x v="0"/>
    <n v="0.211848867954925"/>
    <n v="2.8021217687626301E-2"/>
    <n v="0"/>
    <n v="1"/>
    <n v="0"/>
    <n v="0"/>
    <s v="Unnamed ProjectReparadorInstantaneous Utilization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10"/>
    <x v="4"/>
    <x v="1"/>
    <x v="0"/>
    <n v="0.211848867954925"/>
    <n v="2.8021217687626301E-2"/>
    <n v="0"/>
    <n v="1"/>
    <n v="0"/>
    <n v="0"/>
    <s v="Unnamed ProjectReparadorNumber BusyResource"/>
    <n v="10"/>
    <n v="0.19913181661081703"/>
    <n v="1.2869584853188797E-2"/>
    <n v="0.95"/>
    <n v="9.2063464017040682E-3"/>
    <n v="0.17745123836948901"/>
    <n v="0.211848867954925"/>
    <n v="9.2063464017040682E-3"/>
  </r>
  <r>
    <x v="0"/>
    <s v="2023-01-03 20:25:18"/>
    <n v="10"/>
    <x v="4"/>
    <x v="2"/>
    <x v="0"/>
    <n v="1"/>
    <n v="2E+20"/>
    <n v="1"/>
    <n v="1"/>
    <n v="1"/>
    <n v="0"/>
    <s v="Unnamed ProjectReparadorNumber ScheduledResource"/>
    <n v="10"/>
    <n v="1"/>
    <n v="0"/>
    <n v="0.95"/>
    <n v="0"/>
    <n v="1"/>
    <n v="1"/>
    <n v="0"/>
  </r>
  <r>
    <x v="0"/>
    <s v="2023-01-03 20:25:18"/>
    <n v="10"/>
    <x v="5"/>
    <x v="4"/>
    <x v="2"/>
    <n v="4.2658341998875297E-3"/>
    <n v="2E+20"/>
    <n v="0"/>
    <n v="2"/>
    <n v="0"/>
    <n v="0"/>
    <s v="Unnamed ProjectRequest 1.QueueNumber WaitingQueue"/>
    <n v="10"/>
    <n v="4.8190091230550045E-3"/>
    <n v="9.9355072791354948E-4"/>
    <n v="0.95"/>
    <n v="7.1074337464513838E-4"/>
    <n v="3.2120131992165002E-3"/>
    <n v="6.7743819151736204E-3"/>
    <n v="7.1074337464513838E-4"/>
  </r>
  <r>
    <x v="0"/>
    <s v="2023-01-03 20:25:18"/>
    <n v="10"/>
    <x v="6"/>
    <x v="4"/>
    <x v="2"/>
    <n v="1.6631426259607401E-3"/>
    <n v="2E+20"/>
    <n v="0"/>
    <n v="1"/>
    <n v="0"/>
    <n v="0"/>
    <s v="Unnamed ProjectRequest 2.QueueNumber WaitingQueue"/>
    <n v="10"/>
    <n v="1.5696910266493301E-3"/>
    <n v="6.0189584441635625E-4"/>
    <n v="0.95"/>
    <n v="4.3057034897828515E-4"/>
    <n v="7.20972505524855E-4"/>
    <n v="2.83347119475641E-3"/>
    <n v="4.3057034897828515E-4"/>
  </r>
  <r>
    <x v="0"/>
    <s v="2023-01-03 20:25:18"/>
    <n v="10"/>
    <x v="7"/>
    <x v="4"/>
    <x v="2"/>
    <n v="1.7506144275387799E-3"/>
    <n v="2E+20"/>
    <n v="0"/>
    <n v="1"/>
    <n v="0"/>
    <n v="0"/>
    <s v="Unnamed ProjectRequest 3.QueueNumber WaitingQueue"/>
    <n v="10"/>
    <n v="1.2093263692077995E-3"/>
    <n v="3.991646065888812E-4"/>
    <n v="0.95"/>
    <n v="2.8554515794241967E-4"/>
    <n v="3.9608330686738202E-4"/>
    <n v="1.78688869193974E-3"/>
    <n v="2.8554515794241967E-4"/>
  </r>
  <r>
    <x v="0"/>
    <s v="2023-01-03 20:25:18"/>
    <n v="10"/>
    <x v="8"/>
    <x v="4"/>
    <x v="2"/>
    <n v="1.8257956012972701E-3"/>
    <n v="2E+20"/>
    <n v="0"/>
    <n v="1"/>
    <n v="0"/>
    <n v="0"/>
    <s v="Unnamed ProjectRequest 4.QueueNumber WaitingQueue"/>
    <n v="10"/>
    <n v="1.2386545997793272E-3"/>
    <n v="4.4850298496750961E-4"/>
    <n v="0.95"/>
    <n v="3.2083970764496515E-4"/>
    <n v="1.9922591088506199E-4"/>
    <n v="1.8257956012972701E-3"/>
    <n v="3.2083970764496515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2023-01-03 20:25:18"/>
    <n v="1"/>
    <x v="0"/>
    <x v="0"/>
    <x v="0"/>
    <n v="0"/>
    <n v="0"/>
    <n v="0"/>
    <n v="0"/>
    <n v="501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1"/>
    <x v="0"/>
    <x v="1"/>
    <x v="0"/>
    <n v="0.39787092481710801"/>
    <n v="6.1617336439035303E-3"/>
    <n v="0.33333333333325799"/>
    <n v="0.50000000000022704"/>
    <n v="501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1"/>
    <x v="0"/>
    <x v="2"/>
    <x v="0"/>
    <n v="10.445336135317"/>
    <n v="1.3904057473670199"/>
    <n v="3.6193771642463202"/>
    <n v="29.6764614306251"/>
    <n v="501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1"/>
    <x v="0"/>
    <x v="3"/>
    <x v="0"/>
    <n v="0.36560212907523398"/>
    <n v="3.0808668219496601E-3"/>
    <n v="0.33333333333325799"/>
    <n v="0.41666666666674201"/>
    <n v="501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1"/>
    <x v="0"/>
    <x v="4"/>
    <x v="0"/>
    <n v="3.7833179341877301"/>
    <n v="8.6701092157458706E-2"/>
    <n v="2.0532283924059702"/>
    <n v="6.1837125112453997"/>
    <n v="501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1"/>
    <x v="0"/>
    <x v="5"/>
    <x v="0"/>
    <n v="5.8985451472368799"/>
    <n v="1.3709850249028399"/>
    <n v="0.66666666666662899"/>
    <n v="23.3931258599034"/>
    <n v="501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2"/>
    <x v="0"/>
    <x v="0"/>
    <x v="0"/>
    <n v="0"/>
    <n v="0"/>
    <n v="0"/>
    <n v="0"/>
    <n v="512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2"/>
    <x v="0"/>
    <x v="1"/>
    <x v="0"/>
    <n v="0.401367187500067"/>
    <n v="7.2027110201738596E-3"/>
    <n v="0.33333333333325799"/>
    <n v="0.50000000000022704"/>
    <n v="512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2"/>
    <x v="0"/>
    <x v="2"/>
    <x v="0"/>
    <n v="9.4533697215902599"/>
    <n v="0.91802346338402296"/>
    <n v="3.4276236864520802"/>
    <n v="22.473731906184"/>
    <n v="512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2"/>
    <x v="0"/>
    <x v="3"/>
    <x v="0"/>
    <n v="0.36735026041671198"/>
    <n v="3.6013555100823701E-3"/>
    <n v="0.33333333333325799"/>
    <n v="0.41666666666674201"/>
    <n v="512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2"/>
    <x v="0"/>
    <x v="4"/>
    <x v="0"/>
    <n v="3.8197111984593"/>
    <n v="8.5659400967255397E-2"/>
    <n v="2.0138056379726099"/>
    <n v="6.2682479472255199"/>
    <n v="512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2"/>
    <x v="0"/>
    <x v="5"/>
    <x v="0"/>
    <n v="4.8649410752141797"/>
    <n v="0.91168346977938197"/>
    <n v="0.5"/>
    <n v="16.565529732507201"/>
    <n v="512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3"/>
    <x v="0"/>
    <x v="0"/>
    <x v="0"/>
    <n v="0"/>
    <n v="0"/>
    <n v="0"/>
    <n v="0"/>
    <n v="517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3"/>
    <x v="0"/>
    <x v="1"/>
    <x v="0"/>
    <n v="0.401353965183814"/>
    <n v="7.2027110201827197E-3"/>
    <n v="0.33333333333325799"/>
    <n v="0.50000000000022704"/>
    <n v="517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3"/>
    <x v="0"/>
    <x v="2"/>
    <x v="0"/>
    <n v="10.154770905820699"/>
    <n v="1.0298677631172499"/>
    <n v="3.68640856629793"/>
    <n v="26.182917245950701"/>
    <n v="517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3"/>
    <x v="0"/>
    <x v="3"/>
    <x v="0"/>
    <n v="0.36734364925858298"/>
    <n v="3.6013555100903299E-3"/>
    <n v="0.33333333333325799"/>
    <n v="0.41666666666674201"/>
    <n v="517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3"/>
    <x v="0"/>
    <x v="4"/>
    <x v="0"/>
    <n v="3.80489535261502"/>
    <n v="9.1817551369482595E-2"/>
    <n v="2.05543184497105"/>
    <n v="6.2230634688103201"/>
    <n v="517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3"/>
    <x v="0"/>
    <x v="5"/>
    <x v="0"/>
    <n v="5.5811779387632701"/>
    <n v="1.0289733511413901"/>
    <n v="0.66666666666662899"/>
    <n v="22.823746379897202"/>
    <n v="517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4"/>
    <x v="0"/>
    <x v="0"/>
    <x v="0"/>
    <n v="0"/>
    <n v="0"/>
    <n v="0"/>
    <n v="0"/>
    <n v="514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4"/>
    <x v="0"/>
    <x v="1"/>
    <x v="0"/>
    <n v="0.39526588845662097"/>
    <n v="8.2044689759284105E-3"/>
    <n v="0.33333333333325799"/>
    <n v="0.50000000000022704"/>
    <n v="514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4"/>
    <x v="0"/>
    <x v="2"/>
    <x v="0"/>
    <n v="10.6347369026774"/>
    <n v="3E+20"/>
    <n v="3.72615438515595"/>
    <n v="33.062457628612499"/>
    <n v="514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4"/>
    <x v="0"/>
    <x v="3"/>
    <x v="0"/>
    <n v="0.36429961089498902"/>
    <n v="4.10223448796337E-3"/>
    <n v="0.33333333333325799"/>
    <n v="0.41666666666674201"/>
    <n v="514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4"/>
    <x v="0"/>
    <x v="4"/>
    <x v="0"/>
    <n v="3.7192590237283998"/>
    <n v="9.4237861114751395E-2"/>
    <n v="2.0253115400503199"/>
    <n v="6.6837217950451304"/>
    <n v="514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4"/>
    <x v="0"/>
    <x v="5"/>
    <x v="0"/>
    <n v="6.1559123795973996"/>
    <n v="3E+20"/>
    <n v="0.66666666666662899"/>
    <n v="27.953950818911601"/>
    <n v="514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5"/>
    <x v="0"/>
    <x v="0"/>
    <x v="0"/>
    <n v="0"/>
    <n v="0"/>
    <n v="0"/>
    <n v="0"/>
    <n v="503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5"/>
    <x v="0"/>
    <x v="1"/>
    <x v="0"/>
    <n v="0.40390987408887702"/>
    <n v="8.2505229025405906E-3"/>
    <n v="0.33333333333325799"/>
    <n v="0.50000000000022704"/>
    <n v="503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5"/>
    <x v="0"/>
    <x v="2"/>
    <x v="0"/>
    <n v="10.157923852300801"/>
    <n v="3E+20"/>
    <n v="3.61354844535526"/>
    <n v="48.198252011387503"/>
    <n v="503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5"/>
    <x v="0"/>
    <x v="3"/>
    <x v="0"/>
    <n v="0.36862160371111502"/>
    <n v="4.12526145126895E-3"/>
    <n v="0.33333333333325799"/>
    <n v="0.41666666666674201"/>
    <n v="503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5"/>
    <x v="0"/>
    <x v="4"/>
    <x v="0"/>
    <n v="3.8283595828552399"/>
    <n v="0.111452258196666"/>
    <n v="2.0982316067581901"/>
    <n v="6.7731263660148198"/>
    <n v="503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5"/>
    <x v="0"/>
    <x v="5"/>
    <x v="0"/>
    <n v="5.5570327916455797"/>
    <n v="3E+20"/>
    <n v="0.647429274373302"/>
    <n v="42.021257526604401"/>
    <n v="503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6"/>
    <x v="0"/>
    <x v="0"/>
    <x v="0"/>
    <n v="0"/>
    <n v="0"/>
    <n v="0"/>
    <n v="0"/>
    <n v="496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6"/>
    <x v="0"/>
    <x v="1"/>
    <x v="0"/>
    <n v="0.39314516129038501"/>
    <n v="6.6812703169940799E-3"/>
    <n v="0.33333333333325799"/>
    <n v="0.50000000000022704"/>
    <n v="496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6"/>
    <x v="0"/>
    <x v="2"/>
    <x v="0"/>
    <n v="11.9831875498628"/>
    <n v="3E+20"/>
    <n v="3.6065357947667001"/>
    <n v="45.987386672727197"/>
    <n v="496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6"/>
    <x v="0"/>
    <x v="3"/>
    <x v="0"/>
    <n v="0.36323924731187401"/>
    <n v="3.3406351584931901E-3"/>
    <n v="0.33333333333325799"/>
    <n v="0.41666666666674201"/>
    <n v="496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6"/>
    <x v="0"/>
    <x v="4"/>
    <x v="0"/>
    <n v="3.6568137276396699"/>
    <n v="8.7301044055784094E-2"/>
    <n v="2.0722476948114901"/>
    <n v="6.19259227346652"/>
    <n v="496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6"/>
    <x v="0"/>
    <x v="5"/>
    <x v="0"/>
    <n v="7.5699894136208599"/>
    <n v="3E+20"/>
    <n v="0.5"/>
    <n v="42.648027327890098"/>
    <n v="496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7"/>
    <x v="0"/>
    <x v="0"/>
    <x v="0"/>
    <n v="0"/>
    <n v="0"/>
    <n v="0"/>
    <n v="0"/>
    <n v="470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7"/>
    <x v="0"/>
    <x v="1"/>
    <x v="0"/>
    <n v="0.396099290780207"/>
    <n v="7.55591304245042E-3"/>
    <n v="0.33333333333325799"/>
    <n v="0.50000000000022704"/>
    <n v="470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7"/>
    <x v="0"/>
    <x v="2"/>
    <x v="0"/>
    <n v="9.4273998542096606"/>
    <n v="1.35989697276175"/>
    <n v="3.4545407989313599"/>
    <n v="29.169844826270602"/>
    <n v="470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7"/>
    <x v="0"/>
    <x v="3"/>
    <x v="0"/>
    <n v="0.36471631205678301"/>
    <n v="3.7779565212237901E-3"/>
    <n v="0.33333333333325799"/>
    <n v="0.41666666666674201"/>
    <n v="470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7"/>
    <x v="0"/>
    <x v="4"/>
    <x v="0"/>
    <n v="3.8009498332162899"/>
    <n v="0.11523495484619101"/>
    <n v="2.0741817406405998"/>
    <n v="6.4978405925685401"/>
    <n v="470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7"/>
    <x v="0"/>
    <x v="5"/>
    <x v="0"/>
    <n v="4.8656344181563904"/>
    <n v="1.3677917531756001"/>
    <n v="0.66666666666662899"/>
    <n v="22.8605935677971"/>
    <n v="470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8"/>
    <x v="0"/>
    <x v="0"/>
    <x v="0"/>
    <n v="0"/>
    <n v="0"/>
    <n v="0"/>
    <n v="0"/>
    <n v="499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8"/>
    <x v="0"/>
    <x v="1"/>
    <x v="0"/>
    <n v="0.40046760187047897"/>
    <n v="6.8181815554004101E-3"/>
    <n v="0.33333333333325799"/>
    <n v="0.50000000000022704"/>
    <n v="499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8"/>
    <x v="0"/>
    <x v="2"/>
    <x v="0"/>
    <n v="9.1721960352190095"/>
    <n v="0.733144546792037"/>
    <n v="3.4962884704525501"/>
    <n v="23.706129470167198"/>
    <n v="499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8"/>
    <x v="0"/>
    <x v="3"/>
    <x v="0"/>
    <n v="0.36690046760191902"/>
    <n v="3.40909077769654E-3"/>
    <n v="0.33333333333325799"/>
    <n v="0.41666666666674201"/>
    <n v="499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8"/>
    <x v="0"/>
    <x v="4"/>
    <x v="0"/>
    <n v="3.8239755779795801"/>
    <n v="9.6293212353735294E-2"/>
    <n v="2.0235905227340298"/>
    <n v="6.1876227389679999"/>
    <n v="499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8"/>
    <x v="0"/>
    <x v="5"/>
    <x v="0"/>
    <n v="4.5808523877670204"/>
    <n v="0.70396342239309395"/>
    <n v="0.5"/>
    <n v="17.053036343555998"/>
    <n v="499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9"/>
    <x v="0"/>
    <x v="0"/>
    <x v="0"/>
    <n v="0"/>
    <n v="0"/>
    <n v="0"/>
    <n v="0"/>
    <n v="521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9"/>
    <x v="0"/>
    <x v="1"/>
    <x v="0"/>
    <n v="0.39827255278317503"/>
    <n v="3E+20"/>
    <n v="0.33333333333325799"/>
    <n v="0.50000000000022704"/>
    <n v="521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9"/>
    <x v="0"/>
    <x v="2"/>
    <x v="0"/>
    <n v="11.3088414078835"/>
    <n v="3E+20"/>
    <n v="3.5624673147258399"/>
    <n v="33.649378900373499"/>
    <n v="521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9"/>
    <x v="0"/>
    <x v="3"/>
    <x v="0"/>
    <n v="0.365802943058264"/>
    <n v="3E+20"/>
    <n v="0.33333333333325799"/>
    <n v="0.41666666666674201"/>
    <n v="521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9"/>
    <x v="0"/>
    <x v="4"/>
    <x v="0"/>
    <n v="3.77516603595183"/>
    <n v="9.8191504518675504E-2"/>
    <n v="2.06246731472595"/>
    <n v="6.75565717121503"/>
    <n v="521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9"/>
    <x v="0"/>
    <x v="5"/>
    <x v="0"/>
    <n v="6.7695998760902096"/>
    <n v="3E+20"/>
    <n v="0.5"/>
    <n v="27.7469643258035"/>
    <n v="521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10"/>
    <x v="0"/>
    <x v="0"/>
    <x v="0"/>
    <n v="0"/>
    <n v="0"/>
    <n v="0"/>
    <n v="0"/>
    <n v="490"/>
    <s v="Unnamed ProjectPECASNVA TimeEntity"/>
    <n v="10"/>
    <n v="0"/>
    <n v="0"/>
    <n v="0.95"/>
    <n v="0"/>
    <n v="0"/>
    <n v="0"/>
    <n v="0"/>
    <n v="0"/>
    <n v="502.3"/>
    <n v="0"/>
    <n v="10"/>
    <n v="1"/>
  </r>
  <r>
    <x v="0"/>
    <s v="2023-01-03 20:25:18"/>
    <n v="10"/>
    <x v="0"/>
    <x v="1"/>
    <x v="0"/>
    <n v="0.40578231292524197"/>
    <n v="6.4596270796594499E-3"/>
    <n v="0.33333333333325799"/>
    <n v="0.50000000000022704"/>
    <n v="490"/>
    <s v="Unnamed ProjectPECASOther TimeEntity"/>
    <n v="10"/>
    <n v="0.39935347596959753"/>
    <n v="3.9524478084220207E-3"/>
    <n v="0.95"/>
    <n v="2.827410835243311E-3"/>
    <n v="0.39314516129038501"/>
    <n v="0.40578231292524197"/>
    <n v="0.33333333333325799"/>
    <n v="0.50000000000022704"/>
    <n v="502.3"/>
    <n v="2.827410835243311E-3"/>
    <n v="10"/>
    <n v="1"/>
  </r>
  <r>
    <x v="0"/>
    <s v="2023-01-03 20:25:18"/>
    <n v="10"/>
    <x v="0"/>
    <x v="2"/>
    <x v="0"/>
    <n v="9.7479063277033493"/>
    <n v="1.1165049307159001"/>
    <n v="3.4578156541629101"/>
    <n v="28.7879800368021"/>
    <n v="490"/>
    <s v="Unnamed ProjectPECASTotal TimeEntity"/>
    <n v="10"/>
    <n v="10.248566869258447"/>
    <n v="0.88530215817338287"/>
    <n v="0.95"/>
    <n v="0.63330701272006318"/>
    <n v="9.1721960352190095"/>
    <n v="11.9831875498628"/>
    <n v="3.4276236864520802"/>
    <n v="48.198252011387503"/>
    <n v="502.3"/>
    <n v="0.63330701272006318"/>
    <n v="10"/>
    <n v="1"/>
  </r>
  <r>
    <x v="0"/>
    <s v="2023-01-03 20:25:18"/>
    <n v="10"/>
    <x v="0"/>
    <x v="3"/>
    <x v="0"/>
    <n v="0.36955782312929802"/>
    <n v="3.2298135398279898E-3"/>
    <n v="0.33333333333325799"/>
    <n v="0.41666666666674201"/>
    <n v="490"/>
    <s v="Unnamed ProjectPECASTransfer TimeEntity"/>
    <n v="10"/>
    <n v="0.36634340465147713"/>
    <n v="1.9762239042097596E-3"/>
    <n v="0.95"/>
    <n v="1.4137054176207608E-3"/>
    <n v="0.36323924731187401"/>
    <n v="0.36955782312929802"/>
    <n v="0.33333333333325799"/>
    <n v="0.41666666666674201"/>
    <n v="502.3"/>
    <n v="1.4137054176207608E-3"/>
    <n v="10"/>
    <n v="1"/>
  </r>
  <r>
    <x v="0"/>
    <s v="2023-01-03 20:25:18"/>
    <n v="10"/>
    <x v="0"/>
    <x v="4"/>
    <x v="0"/>
    <n v="3.8227431309194402"/>
    <n v="7.9633611922907396E-2"/>
    <n v="2.08898206722938"/>
    <n v="6.5587188589299803"/>
    <n v="490"/>
    <s v="Unnamed ProjectPECASVA TimeEntity"/>
    <n v="10"/>
    <n v="3.7835191397552501"/>
    <n v="5.5287114910399643E-2"/>
    <n v="0.95"/>
    <n v="3.9550019462348089E-2"/>
    <n v="3.6568137276396699"/>
    <n v="3.8283595828552399"/>
    <n v="2.0138056379726099"/>
    <n v="6.7731263660148198"/>
    <n v="502.3"/>
    <n v="3.9550019462348089E-2"/>
    <n v="10"/>
    <n v="1"/>
  </r>
  <r>
    <x v="0"/>
    <s v="2023-01-03 20:25:18"/>
    <n v="10"/>
    <x v="0"/>
    <x v="5"/>
    <x v="0"/>
    <n v="5.1498230607293696"/>
    <n v="1.14059605540903"/>
    <n v="0.66666666666662899"/>
    <n v="23.7330961128262"/>
    <n v="490"/>
    <s v="Unnamed ProjectPECASWait TimeEntity"/>
    <n v="10"/>
    <n v="5.6993508488821156"/>
    <n v="0.93520110973100146"/>
    <n v="0.95"/>
    <n v="0.66900257231750115"/>
    <n v="4.5808523877670204"/>
    <n v="7.5699894136208599"/>
    <n v="0.5"/>
    <n v="42.648027327890098"/>
    <n v="502.3"/>
    <n v="0.66900257231750115"/>
    <n v="10"/>
    <n v="1"/>
  </r>
  <r>
    <x v="0"/>
    <s v="2023-01-03 20:25:18"/>
    <n v="1"/>
    <x v="1"/>
    <x v="6"/>
    <x v="1"/>
    <n v="4.8996420217517596"/>
    <n v="1.3683756558345099"/>
    <n v="0"/>
    <n v="22.316839493179501"/>
    <n v="503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2"/>
    <x v="1"/>
    <x v="6"/>
    <x v="1"/>
    <n v="3.8937307220204"/>
    <n v="0.908206773799488"/>
    <n v="0"/>
    <n v="15.748570155875999"/>
    <n v="515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3"/>
    <x v="1"/>
    <x v="6"/>
    <x v="1"/>
    <n v="4.5914409064121102"/>
    <n v="1.02670953634291"/>
    <n v="0"/>
    <n v="21.823746379897202"/>
    <n v="517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4"/>
    <x v="1"/>
    <x v="6"/>
    <x v="1"/>
    <n v="5.1743160984716399"/>
    <n v="3E+20"/>
    <n v="0"/>
    <n v="26.891798298774599"/>
    <n v="515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5"/>
    <x v="1"/>
    <x v="6"/>
    <x v="1"/>
    <n v="4.57316424559259"/>
    <n v="3E+20"/>
    <n v="0"/>
    <n v="40.411235958361701"/>
    <n v="503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6"/>
    <x v="1"/>
    <x v="6"/>
    <x v="1"/>
    <n v="6.5885732939325399"/>
    <n v="3E+20"/>
    <n v="0"/>
    <n v="41.981360661223398"/>
    <n v="498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7"/>
    <x v="1"/>
    <x v="6"/>
    <x v="1"/>
    <n v="3.8901123521304499"/>
    <n v="1.3642235610532201"/>
    <n v="0"/>
    <n v="21.7772602344638"/>
    <n v="471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8"/>
    <x v="1"/>
    <x v="6"/>
    <x v="1"/>
    <n v="3.58508477537548"/>
    <n v="0.69919771912892104"/>
    <n v="0"/>
    <n v="16.011369676889299"/>
    <n v="501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9"/>
    <x v="1"/>
    <x v="6"/>
    <x v="1"/>
    <n v="5.7898135179939096"/>
    <n v="3E+20"/>
    <n v="0"/>
    <n v="26.9136309924702"/>
    <n v="522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10"/>
    <x v="1"/>
    <x v="6"/>
    <x v="1"/>
    <n v="4.1664641574899202"/>
    <n v="1.1402816360219601"/>
    <n v="0"/>
    <n v="23.0664294461594"/>
    <n v="491"/>
    <s v="Unnamed ProjectProcesso Maquina A.QueueWaiting TimeQueue"/>
    <n v="10"/>
    <n v="4.7152342091170798"/>
    <n v="0.93562049921288415"/>
    <n v="0.95"/>
    <n v="0.66930258547965749"/>
    <n v="3.58508477537548"/>
    <n v="6.5885732939325399"/>
    <n v="0"/>
    <n v="41.981360661223398"/>
    <n v="503.6"/>
    <n v="0.66930258547965749"/>
    <n v="10"/>
    <n v="1"/>
  </r>
  <r>
    <x v="0"/>
    <s v="2023-01-03 20:25:18"/>
    <n v="1"/>
    <x v="2"/>
    <x v="6"/>
    <x v="1"/>
    <n v="5.6191854693242197E-3"/>
    <n v="2E+20"/>
    <n v="0"/>
    <n v="0.73284416306216804"/>
    <n v="195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2"/>
    <x v="2"/>
    <x v="6"/>
    <x v="1"/>
    <n v="1.9131967478028299E-3"/>
    <n v="2E+20"/>
    <n v="0"/>
    <n v="0.34828233303386502"/>
    <n v="210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3"/>
    <x v="2"/>
    <x v="6"/>
    <x v="1"/>
    <n v="3.4519223014701601E-3"/>
    <n v="2E+20"/>
    <n v="0"/>
    <n v="0.30326897712870998"/>
    <n v="211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4"/>
    <x v="2"/>
    <x v="6"/>
    <x v="1"/>
    <n v="2.6057833776871701E-3"/>
    <n v="2E+20"/>
    <n v="0"/>
    <n v="0.26243459419936899"/>
    <n v="192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5"/>
    <x v="2"/>
    <x v="6"/>
    <x v="1"/>
    <n v="5.8271760774277403E-3"/>
    <n v="2E+20"/>
    <n v="0"/>
    <n v="0.63133355243462597"/>
    <n v="213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6"/>
    <x v="2"/>
    <x v="6"/>
    <x v="1"/>
    <n v="2.4796788319795399E-4"/>
    <n v="2E+20"/>
    <n v="0"/>
    <n v="3.3546891955666097E-2"/>
    <n v="178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7"/>
    <x v="2"/>
    <x v="6"/>
    <x v="1"/>
    <n v="4.81462435198019E-4"/>
    <n v="2E+20"/>
    <n v="0"/>
    <n v="8.5218851030049295E-2"/>
    <n v="177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8"/>
    <x v="2"/>
    <x v="6"/>
    <x v="1"/>
    <n v="2.24355474609966E-3"/>
    <n v="2E+20"/>
    <n v="0"/>
    <n v="0.34957490756187298"/>
    <n v="202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9"/>
    <x v="2"/>
    <x v="6"/>
    <x v="1"/>
    <n v="4.8150194000304498E-4"/>
    <n v="2E+20"/>
    <n v="0"/>
    <n v="6.6716262120848996E-2"/>
    <n v="203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10"/>
    <x v="2"/>
    <x v="6"/>
    <x v="1"/>
    <n v="1.0309917969433301E-3"/>
    <n v="2E+20"/>
    <n v="0"/>
    <n v="0.18266107991723901"/>
    <n v="213"/>
    <s v="Unnamed ProjectProcesso Reparo.QueueWaiting TimeQueue"/>
    <n v="10"/>
    <n v="2.390274277515413E-3"/>
    <n v="2.0381072862136729E-3"/>
    <n v="0.95"/>
    <n v="1.4579741223020809E-3"/>
    <n v="2.4796788319795399E-4"/>
    <n v="5.8271760774277403E-3"/>
    <n v="0"/>
    <n v="0.73284416306216804"/>
    <n v="199.4"/>
    <n v="1.4579741223020809E-3"/>
    <n v="10"/>
    <n v="1"/>
  </r>
  <r>
    <x v="0"/>
    <s v="2023-01-03 20:25:18"/>
    <n v="1"/>
    <x v="3"/>
    <x v="6"/>
    <x v="1"/>
    <n v="1.8481350342897902E-2"/>
    <n v="9.0360507044192004E-3"/>
    <n v="0"/>
    <n v="1.1147114006012699"/>
    <n v="505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2"/>
    <x v="3"/>
    <x v="6"/>
    <x v="1"/>
    <n v="1.91944577485904E-2"/>
    <n v="7.7020873936774498E-3"/>
    <n v="0"/>
    <n v="0.574821249685328"/>
    <n v="520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3"/>
    <x v="3"/>
    <x v="6"/>
    <x v="1"/>
    <n v="2.62065064416774E-2"/>
    <n v="1.18756651257958E-2"/>
    <n v="0"/>
    <n v="0.79628265371081897"/>
    <n v="517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4"/>
    <x v="3"/>
    <x v="6"/>
    <x v="1"/>
    <n v="1.7316876403115501E-2"/>
    <n v="8.7641953931762596E-3"/>
    <n v="0"/>
    <n v="0.65235116731855702"/>
    <n v="515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5"/>
    <x v="3"/>
    <x v="6"/>
    <x v="1"/>
    <n v="1.57038008912735E-2"/>
    <n v="7.7936310897602397E-3"/>
    <n v="0"/>
    <n v="0.70220065082844496"/>
    <n v="503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6"/>
    <x v="3"/>
    <x v="6"/>
    <x v="1"/>
    <n v="1.28996514024759E-2"/>
    <n v="6.4027939881053696E-3"/>
    <n v="0"/>
    <n v="0.71731598326647406"/>
    <n v="498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7"/>
    <x v="3"/>
    <x v="6"/>
    <x v="1"/>
    <n v="1.98982303966555E-2"/>
    <n v="7.6672299419184697E-3"/>
    <n v="0"/>
    <n v="0.823212833335219"/>
    <n v="471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8"/>
    <x v="3"/>
    <x v="6"/>
    <x v="1"/>
    <n v="2.2617221958164301E-2"/>
    <n v="1.0840711143409801E-2"/>
    <n v="0"/>
    <n v="0.87449435339513604"/>
    <n v="503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9"/>
    <x v="3"/>
    <x v="6"/>
    <x v="1"/>
    <n v="2.1064734717275699E-2"/>
    <n v="8.8781317457192997E-3"/>
    <n v="0"/>
    <n v="0.76650315541269298"/>
    <n v="522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10"/>
    <x v="3"/>
    <x v="6"/>
    <x v="1"/>
    <n v="1.7340789430437101E-2"/>
    <n v="7.6949256747181304E-3"/>
    <n v="0"/>
    <n v="0.84579005065143098"/>
    <n v="492"/>
    <s v="Unnamed ProjectRequest 1.QueueWaiting TimeQueue"/>
    <n v="10"/>
    <n v="1.9072361973256319E-2"/>
    <n v="3.7119550426822712E-3"/>
    <n v="0.95"/>
    <n v="2.655372674435396E-3"/>
    <n v="1.28996514024759E-2"/>
    <n v="2.62065064416774E-2"/>
    <n v="0"/>
    <n v="1.1147114006012699"/>
    <n v="504.6"/>
    <n v="2.655372674435396E-3"/>
    <n v="10"/>
    <n v="1"/>
  </r>
  <r>
    <x v="0"/>
    <s v="2023-01-03 20:25:18"/>
    <n v="1"/>
    <x v="4"/>
    <x v="6"/>
    <x v="1"/>
    <n v="1.18328175303101E-2"/>
    <n v="2E+20"/>
    <n v="0"/>
    <n v="0.525923525356774"/>
    <n v="307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2"/>
    <x v="4"/>
    <x v="6"/>
    <x v="1"/>
    <n v="9.1085282425380099E-3"/>
    <n v="2E+20"/>
    <n v="0"/>
    <n v="0.39580821709000702"/>
    <n v="303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3"/>
    <x v="4"/>
    <x v="6"/>
    <x v="1"/>
    <n v="1.1480974686326599E-2"/>
    <n v="2E+20"/>
    <n v="0"/>
    <n v="0.53594980106777301"/>
    <n v="306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4"/>
    <x v="4"/>
    <x v="6"/>
    <x v="1"/>
    <n v="1.7544713280225499E-2"/>
    <n v="8.3571748804119692E-3"/>
    <n v="0"/>
    <n v="0.630794879250971"/>
    <n v="323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5"/>
    <x v="4"/>
    <x v="6"/>
    <x v="1"/>
    <n v="6.2282139602942502E-3"/>
    <n v="2E+20"/>
    <n v="0"/>
    <n v="0.52460768230469101"/>
    <n v="290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6"/>
    <x v="4"/>
    <x v="6"/>
    <x v="1"/>
    <n v="4.5202037963940796E-3"/>
    <n v="2E+20"/>
    <n v="0"/>
    <n v="0.41122194726051498"/>
    <n v="319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7"/>
    <x v="4"/>
    <x v="6"/>
    <x v="1"/>
    <n v="1.19605535989835E-2"/>
    <n v="2E+20"/>
    <n v="0"/>
    <n v="0.50679095115356199"/>
    <n v="293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8"/>
    <x v="4"/>
    <x v="6"/>
    <x v="1"/>
    <n v="6.8510892074621198E-3"/>
    <n v="2E+20"/>
    <n v="0"/>
    <n v="0.65306563940759998"/>
    <n v="298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9"/>
    <x v="4"/>
    <x v="6"/>
    <x v="1"/>
    <n v="1.1205541288276799E-2"/>
    <n v="2E+20"/>
    <n v="0"/>
    <n v="0.68362639578560902"/>
    <n v="318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10"/>
    <x v="4"/>
    <x v="6"/>
    <x v="1"/>
    <n v="1.20082500069368E-2"/>
    <n v="2E+20"/>
    <n v="0"/>
    <n v="0.445531850305315"/>
    <n v="277"/>
    <s v="Unnamed ProjectRequest 2.QueueWaiting TimeQueue"/>
    <n v="10"/>
    <n v="1.0274088559774776E-2"/>
    <n v="3.741939855720188E-3"/>
    <n v="0.95"/>
    <n v="2.676822517516309E-3"/>
    <n v="4.5202037963940796E-3"/>
    <n v="1.7544713280225499E-2"/>
    <n v="0"/>
    <n v="0.68362639578560902"/>
    <n v="303.39999999999998"/>
    <n v="2.676822517516309E-3"/>
    <n v="10"/>
    <n v="1"/>
  </r>
  <r>
    <x v="0"/>
    <s v="2023-01-03 20:25:18"/>
    <n v="1"/>
    <x v="5"/>
    <x v="6"/>
    <x v="1"/>
    <n v="1.83270635070743E-2"/>
    <n v="2E+20"/>
    <n v="0"/>
    <n v="0.60488724157130502"/>
    <n v="195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2"/>
    <x v="5"/>
    <x v="6"/>
    <x v="1"/>
    <n v="9.1973972429914702E-3"/>
    <n v="2E+20"/>
    <n v="0"/>
    <n v="0.51097020826978201"/>
    <n v="210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3"/>
    <x v="5"/>
    <x v="6"/>
    <x v="1"/>
    <n v="1.13648449718637E-2"/>
    <n v="2E+20"/>
    <n v="0"/>
    <n v="0.72599175435163898"/>
    <n v="211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4"/>
    <x v="5"/>
    <x v="6"/>
    <x v="1"/>
    <n v="4.1258677798685604E-3"/>
    <n v="2E+20"/>
    <n v="0"/>
    <n v="0.37734815103249297"/>
    <n v="192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5"/>
    <x v="5"/>
    <x v="6"/>
    <x v="1"/>
    <n v="1.1622552950630799E-2"/>
    <n v="2E+20"/>
    <n v="0"/>
    <n v="0.52724597375049598"/>
    <n v="213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6"/>
    <x v="5"/>
    <x v="6"/>
    <x v="1"/>
    <n v="1.4140016519478899E-2"/>
    <n v="2E+20"/>
    <n v="0"/>
    <n v="0.436914833512901"/>
    <n v="178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7"/>
    <x v="5"/>
    <x v="6"/>
    <x v="1"/>
    <n v="1.33902784515815E-2"/>
    <n v="2E+20"/>
    <n v="0"/>
    <n v="0.59107089858207496"/>
    <n v="177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8"/>
    <x v="5"/>
    <x v="6"/>
    <x v="1"/>
    <n v="1.3400006870345E-2"/>
    <n v="2E+20"/>
    <n v="0"/>
    <n v="0.62619264065529001"/>
    <n v="202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9"/>
    <x v="5"/>
    <x v="6"/>
    <x v="1"/>
    <n v="9.4606474319284695E-3"/>
    <n v="2E+20"/>
    <n v="0"/>
    <n v="0.53797943843551399"/>
    <n v="203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10"/>
    <x v="5"/>
    <x v="6"/>
    <x v="1"/>
    <n v="1.6437694155293701E-2"/>
    <n v="2E+20"/>
    <n v="0"/>
    <n v="0.72445770280705801"/>
    <n v="213"/>
    <s v="Unnamed ProjectRequest 3.QueueWaiting TimeQueue"/>
    <n v="10"/>
    <n v="1.214663698810564E-2"/>
    <n v="4.0115547300929441E-3"/>
    <n v="0.95"/>
    <n v="2.8696933798512732E-3"/>
    <n v="4.1258677798685604E-3"/>
    <n v="1.83270635070743E-2"/>
    <n v="0"/>
    <n v="0.72599175435163898"/>
    <n v="199.4"/>
    <n v="2.8696933798512732E-3"/>
    <n v="10"/>
    <n v="1"/>
  </r>
  <r>
    <x v="0"/>
    <s v="2023-01-03 20:25:18"/>
    <n v="1"/>
    <x v="6"/>
    <x v="6"/>
    <x v="1"/>
    <n v="1.3993641249566599E-2"/>
    <n v="2E+20"/>
    <n v="0"/>
    <n v="0.58653131214396104"/>
    <n v="195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2"/>
    <x v="6"/>
    <x v="6"/>
    <x v="1"/>
    <n v="1.27891563211034E-2"/>
    <n v="2E+20"/>
    <n v="0"/>
    <n v="0.532385575175226"/>
    <n v="210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3"/>
    <x v="6"/>
    <x v="6"/>
    <x v="1"/>
    <n v="1.2863028814408799E-2"/>
    <n v="2E+20"/>
    <n v="0"/>
    <n v="0.42626892102885"/>
    <n v="211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4"/>
    <x v="6"/>
    <x v="6"/>
    <x v="1"/>
    <n v="1.10657677528537E-2"/>
    <n v="2E+20"/>
    <n v="0"/>
    <n v="0.64514424588675501"/>
    <n v="191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5"/>
    <x v="6"/>
    <x v="6"/>
    <x v="1"/>
    <n v="1.2936897425060099E-2"/>
    <n v="2E+20"/>
    <n v="0"/>
    <n v="0.57962260179976999"/>
    <n v="213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6"/>
    <x v="6"/>
    <x v="6"/>
    <x v="1"/>
    <n v="9.7493948768653804E-3"/>
    <n v="2E+20"/>
    <n v="0"/>
    <n v="0.43796189265026397"/>
    <n v="178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7"/>
    <x v="6"/>
    <x v="6"/>
    <x v="1"/>
    <n v="2.2511402359893999E-3"/>
    <n v="2E+20"/>
    <n v="0"/>
    <n v="0.200169574990753"/>
    <n v="177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8"/>
    <x v="6"/>
    <x v="6"/>
    <x v="1"/>
    <n v="1.5908518510130101E-2"/>
    <n v="2E+20"/>
    <n v="0"/>
    <n v="0.564368006649829"/>
    <n v="201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9"/>
    <x v="6"/>
    <x v="6"/>
    <x v="1"/>
    <n v="1.3755377927750599E-2"/>
    <n v="2E+20"/>
    <n v="0"/>
    <n v="0.73380637410514304"/>
    <n v="203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  <r>
    <x v="0"/>
    <s v="2023-01-03 20:25:18"/>
    <n v="10"/>
    <x v="6"/>
    <x v="6"/>
    <x v="1"/>
    <n v="1.7143620669457901E-2"/>
    <n v="2E+20"/>
    <n v="0"/>
    <n v="0.89819076808726095"/>
    <n v="213"/>
    <s v="Unnamed ProjectRequest 4.QueueWaiting TimeQueue"/>
    <n v="10"/>
    <n v="1.2245654378318597E-2"/>
    <n v="4.101618787877067E-3"/>
    <n v="0.95"/>
    <n v="2.9341213255668864E-3"/>
    <n v="2.2511402359893999E-3"/>
    <n v="1.7143620669457901E-2"/>
    <n v="0"/>
    <n v="0.89819076808726095"/>
    <n v="199.2"/>
    <n v="2.9341213255668864E-3"/>
    <n v="1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s v="2023-01-03 20:25:18"/>
    <n v="1"/>
    <x v="0"/>
    <x v="0"/>
    <x v="0"/>
    <n v="503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1"/>
    <x v="1"/>
    <x v="1"/>
    <x v="0"/>
    <n v="0.75583120438763196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1"/>
    <x v="2"/>
    <x v="2"/>
    <x v="1"/>
    <n v="505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1"/>
    <x v="3"/>
    <x v="3"/>
    <x v="1"/>
    <n v="501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1"/>
    <x v="4"/>
    <x v="0"/>
    <x v="0"/>
    <n v="195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1"/>
    <x v="5"/>
    <x v="1"/>
    <x v="0"/>
    <n v="0.19490866254945699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1"/>
    <x v="6"/>
    <x v="3"/>
    <x v="2"/>
    <n v="501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2"/>
    <x v="0"/>
    <x v="0"/>
    <x v="0"/>
    <n v="515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2"/>
    <x v="1"/>
    <x v="1"/>
    <x v="0"/>
    <n v="0.77256234134644597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2"/>
    <x v="2"/>
    <x v="2"/>
    <x v="1"/>
    <n v="520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2"/>
    <x v="3"/>
    <x v="3"/>
    <x v="1"/>
    <n v="512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2"/>
    <x v="4"/>
    <x v="0"/>
    <x v="0"/>
    <n v="210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2"/>
    <x v="5"/>
    <x v="1"/>
    <x v="0"/>
    <n v="0.20937243642484701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2"/>
    <x v="6"/>
    <x v="3"/>
    <x v="2"/>
    <n v="512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3"/>
    <x v="0"/>
    <x v="0"/>
    <x v="0"/>
    <n v="517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3"/>
    <x v="1"/>
    <x v="1"/>
    <x v="0"/>
    <n v="0.777818399763752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3"/>
    <x v="2"/>
    <x v="2"/>
    <x v="1"/>
    <n v="517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3"/>
    <x v="3"/>
    <x v="3"/>
    <x v="1"/>
    <n v="517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3"/>
    <x v="4"/>
    <x v="0"/>
    <x v="0"/>
    <n v="211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3"/>
    <x v="5"/>
    <x v="1"/>
    <x v="0"/>
    <n v="0.205747048887229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3"/>
    <x v="6"/>
    <x v="3"/>
    <x v="2"/>
    <n v="517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4"/>
    <x v="0"/>
    <x v="0"/>
    <x v="0"/>
    <n v="515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4"/>
    <x v="1"/>
    <x v="1"/>
    <x v="0"/>
    <n v="0.76672532734546595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4"/>
    <x v="2"/>
    <x v="2"/>
    <x v="1"/>
    <n v="515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4"/>
    <x v="3"/>
    <x v="3"/>
    <x v="1"/>
    <n v="514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4"/>
    <x v="4"/>
    <x v="0"/>
    <x v="0"/>
    <n v="192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4"/>
    <x v="5"/>
    <x v="1"/>
    <x v="0"/>
    <n v="0.190863569025468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4"/>
    <x v="6"/>
    <x v="3"/>
    <x v="2"/>
    <n v="514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5"/>
    <x v="0"/>
    <x v="0"/>
    <x v="0"/>
    <n v="503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5"/>
    <x v="1"/>
    <x v="1"/>
    <x v="0"/>
    <n v="0.75159746343030698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5"/>
    <x v="2"/>
    <x v="2"/>
    <x v="1"/>
    <n v="503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5"/>
    <x v="3"/>
    <x v="3"/>
    <x v="1"/>
    <n v="503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5"/>
    <x v="4"/>
    <x v="0"/>
    <x v="0"/>
    <n v="213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5"/>
    <x v="5"/>
    <x v="1"/>
    <x v="0"/>
    <n v="0.21123497165778701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5"/>
    <x v="6"/>
    <x v="3"/>
    <x v="2"/>
    <n v="503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6"/>
    <x v="0"/>
    <x v="0"/>
    <x v="0"/>
    <n v="498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6"/>
    <x v="1"/>
    <x v="1"/>
    <x v="0"/>
    <n v="0.73109963996995297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6"/>
    <x v="2"/>
    <x v="2"/>
    <x v="1"/>
    <n v="498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6"/>
    <x v="3"/>
    <x v="3"/>
    <x v="1"/>
    <n v="496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6"/>
    <x v="4"/>
    <x v="0"/>
    <x v="0"/>
    <n v="178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6"/>
    <x v="5"/>
    <x v="1"/>
    <x v="0"/>
    <n v="0.17745123836948901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6"/>
    <x v="6"/>
    <x v="3"/>
    <x v="2"/>
    <n v="496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7"/>
    <x v="0"/>
    <x v="0"/>
    <x v="0"/>
    <n v="471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7"/>
    <x v="1"/>
    <x v="1"/>
    <x v="0"/>
    <n v="0.71419407115187294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7"/>
    <x v="2"/>
    <x v="2"/>
    <x v="1"/>
    <n v="471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7"/>
    <x v="3"/>
    <x v="3"/>
    <x v="1"/>
    <n v="470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7"/>
    <x v="4"/>
    <x v="0"/>
    <x v="0"/>
    <n v="177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7"/>
    <x v="5"/>
    <x v="1"/>
    <x v="0"/>
    <n v="0.17915015177023799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7"/>
    <x v="6"/>
    <x v="3"/>
    <x v="2"/>
    <n v="470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8"/>
    <x v="0"/>
    <x v="0"/>
    <x v="0"/>
    <n v="501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8"/>
    <x v="1"/>
    <x v="1"/>
    <x v="0"/>
    <n v="0.75191681647388897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8"/>
    <x v="2"/>
    <x v="2"/>
    <x v="1"/>
    <n v="503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8"/>
    <x v="3"/>
    <x v="3"/>
    <x v="1"/>
    <n v="499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8"/>
    <x v="4"/>
    <x v="0"/>
    <x v="0"/>
    <n v="202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8"/>
    <x v="5"/>
    <x v="1"/>
    <x v="0"/>
    <n v="0.20583759426287199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8"/>
    <x v="6"/>
    <x v="3"/>
    <x v="2"/>
    <n v="499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9"/>
    <x v="0"/>
    <x v="0"/>
    <x v="0"/>
    <n v="522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9"/>
    <x v="1"/>
    <x v="1"/>
    <x v="0"/>
    <n v="0.77930529942358095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9"/>
    <x v="2"/>
    <x v="2"/>
    <x v="1"/>
    <n v="522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9"/>
    <x v="3"/>
    <x v="3"/>
    <x v="1"/>
    <n v="521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9"/>
    <x v="4"/>
    <x v="0"/>
    <x v="0"/>
    <n v="203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9"/>
    <x v="5"/>
    <x v="1"/>
    <x v="0"/>
    <n v="0.204903625205858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9"/>
    <x v="6"/>
    <x v="3"/>
    <x v="2"/>
    <n v="521"/>
    <n v="0"/>
    <s v="Unnamed ProjectSystem.NumberOutNumber OutSystem"/>
    <n v="10"/>
    <n v="502.3"/>
    <n v="15.070574714396999"/>
    <n v="0.95"/>
    <n v="10.780839698890771"/>
    <n v="470"/>
    <n v="521"/>
  </r>
  <r>
    <x v="0"/>
    <s v="2023-01-03 20:25:18"/>
    <n v="10"/>
    <x v="0"/>
    <x v="0"/>
    <x v="0"/>
    <n v="491"/>
    <n v="0"/>
    <s v="Unnamed ProjectOperador Maquina A.NumberSeizedTotal Number SeizedResource"/>
    <n v="10"/>
    <n v="503.6"/>
    <n v="15.04954779682396"/>
    <n v="0.95"/>
    <n v="10.765797948193622"/>
    <n v="471"/>
    <n v="522"/>
  </r>
  <r>
    <x v="0"/>
    <s v="2023-01-03 20:25:18"/>
    <n v="10"/>
    <x v="1"/>
    <x v="1"/>
    <x v="0"/>
    <n v="0.725995399076098"/>
    <n v="0"/>
    <s v="Unnamed ProjectOperador Maquina A.ScheduledUtilizationScheduled UtilizationResource"/>
    <n v="10"/>
    <n v="0.75270459623689956"/>
    <n v="2.2617715250553498E-2"/>
    <n v="0.95"/>
    <n v="1.6179738801761465E-2"/>
    <n v="0.71419407115187294"/>
    <n v="0.77930529942358095"/>
  </r>
  <r>
    <x v="0"/>
    <s v="2023-01-03 20:25:18"/>
    <n v="10"/>
    <x v="2"/>
    <x v="2"/>
    <x v="1"/>
    <n v="492"/>
    <n v="0"/>
    <s v="Unnamed ProjectPECAS.NumberInNumber InEntity"/>
    <n v="10"/>
    <n v="504.6"/>
    <n v="15.414279094398156"/>
    <n v="0.95"/>
    <n v="11.026711000736963"/>
    <n v="471"/>
    <n v="522"/>
  </r>
  <r>
    <x v="0"/>
    <s v="2023-01-03 20:25:18"/>
    <n v="10"/>
    <x v="3"/>
    <x v="3"/>
    <x v="1"/>
    <n v="490"/>
    <n v="0"/>
    <s v="Unnamed ProjectPECAS.NumberOutNumber OutEntity"/>
    <n v="10"/>
    <n v="502.3"/>
    <n v="15.070574714396999"/>
    <n v="0.95"/>
    <n v="10.780839698890771"/>
    <n v="470"/>
    <n v="521"/>
  </r>
  <r>
    <x v="0"/>
    <s v="2023-01-03 20:25:18"/>
    <n v="10"/>
    <x v="4"/>
    <x v="0"/>
    <x v="0"/>
    <n v="213"/>
    <n v="0"/>
    <s v="Unnamed ProjectReparador.NumberSeizedTotal Number SeizedResource"/>
    <n v="10"/>
    <n v="199.4"/>
    <n v="13.623509092741122"/>
    <n v="0.95"/>
    <n v="9.7456713130465058"/>
    <n v="177"/>
    <n v="213"/>
  </r>
  <r>
    <x v="0"/>
    <s v="2023-01-03 20:25:18"/>
    <n v="10"/>
    <x v="5"/>
    <x v="1"/>
    <x v="0"/>
    <n v="0.211848867954925"/>
    <n v="0"/>
    <s v="Unnamed ProjectReparador.ScheduledUtilizationScheduled UtilizationResource"/>
    <n v="10"/>
    <n v="0.19913181661081703"/>
    <n v="1.2869584853188797E-2"/>
    <n v="0.95"/>
    <n v="9.2063464017040682E-3"/>
    <n v="0.17745123836948901"/>
    <n v="0.211848867954925"/>
  </r>
  <r>
    <x v="0"/>
    <s v="2023-01-03 20:25:18"/>
    <n v="10"/>
    <x v="6"/>
    <x v="3"/>
    <x v="2"/>
    <n v="490"/>
    <n v="0"/>
    <s v="Unnamed ProjectSystem.NumberOutNumber OutSystem"/>
    <n v="10"/>
    <n v="502.3"/>
    <n v="15.070574714396999"/>
    <n v="0.95"/>
    <n v="10.780839698890771"/>
    <n v="470"/>
    <n v="52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24"/>
      <x/>
      <x v="2"/>
    </i>
    <i r="2">
      <x v="1"/>
      <x v="2"/>
    </i>
    <i r="2">
      <x v="2"/>
      <x v="2"/>
    </i>
    <i r="1">
      <x v="125"/>
      <x v="4"/>
      <x/>
    </i>
    <i r="1">
      <x v="126"/>
      <x v="3"/>
      <x v="1"/>
    </i>
    <i r="1">
      <x v="127"/>
      <x v="3"/>
      <x v="1"/>
    </i>
    <i r="1">
      <x v="128"/>
      <x/>
      <x v="2"/>
    </i>
    <i r="2">
      <x v="1"/>
      <x v="2"/>
    </i>
    <i r="2">
      <x v="2"/>
      <x v="2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3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4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7"/>
        <item m="1" x="40"/>
        <item m="1" x="12"/>
        <item m="1" x="92"/>
        <item m="1" x="75"/>
        <item m="1" x="45"/>
        <item m="1" x="101"/>
        <item m="1" x="33"/>
        <item m="1" x="37"/>
        <item m="1" x="104"/>
        <item m="1" x="70"/>
        <item m="1" x="82"/>
        <item m="1" x="87"/>
        <item m="1" x="11"/>
        <item m="1" x="39"/>
        <item m="1" x="29"/>
        <item m="1" x="105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2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21" tableType="queryTable" totalsRowShown="0">
  <autoFilter ref="A1:Y121" xr:uid="{C3D003CA-1AFF-426C-A03D-D3AF5760DF1A}"/>
  <sortState xmlns:xlrd2="http://schemas.microsoft.com/office/spreadsheetml/2017/richdata2" ref="A2:Y121">
    <sortCondition ref="D1:D1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7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7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6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6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31" tableType="queryTable" totalsRowShown="0">
  <autoFilter ref="A1:U13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8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7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6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5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4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3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2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51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50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8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7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6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5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4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71" tableType="queryTable" totalsRowShown="0">
  <autoFilter ref="A1:P7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10</v>
      </c>
      <c r="F2">
        <v>2000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tabSelected="1" workbookViewId="0"/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2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502.3</v>
      </c>
      <c r="O3" t="s">
        <v>66</v>
      </c>
      <c r="P3" t="s">
        <v>85</v>
      </c>
      <c r="Q3" t="s">
        <v>86</v>
      </c>
      <c r="R3" t="s">
        <v>87</v>
      </c>
      <c r="S3" s="5">
        <v>0.75270459623689956</v>
      </c>
      <c r="T3" s="5">
        <v>1.6179738801761465E-2</v>
      </c>
      <c r="U3" s="5">
        <v>2.2617715250553498E-2</v>
      </c>
      <c r="V3" s="5">
        <v>0.71419407115187294</v>
      </c>
      <c r="W3" s="5">
        <v>0.77930529942358095</v>
      </c>
      <c r="X3" s="5">
        <v>0</v>
      </c>
      <c r="Y3" s="5">
        <v>1</v>
      </c>
      <c r="AA3" t="s">
        <v>105</v>
      </c>
      <c r="AB3" t="s">
        <v>105</v>
      </c>
      <c r="AC3" t="s">
        <v>105</v>
      </c>
      <c r="AD3" t="s">
        <v>105</v>
      </c>
      <c r="AE3" s="5"/>
      <c r="AF3" s="5"/>
      <c r="AG3" s="5"/>
      <c r="AH3" s="5"/>
      <c r="AI3" s="5"/>
      <c r="AK3" t="s">
        <v>66</v>
      </c>
      <c r="AL3" t="s">
        <v>103</v>
      </c>
      <c r="AM3" t="s">
        <v>100</v>
      </c>
      <c r="AN3" t="s">
        <v>104</v>
      </c>
      <c r="AO3" s="5">
        <v>502.3</v>
      </c>
      <c r="AP3" s="5">
        <v>10.780839698890771</v>
      </c>
      <c r="AQ3" s="5">
        <v>15.070574714396999</v>
      </c>
      <c r="AR3" s="5">
        <v>470</v>
      </c>
      <c r="AS3" s="5">
        <v>521</v>
      </c>
      <c r="AU3" t="s">
        <v>105</v>
      </c>
      <c r="AV3" t="s">
        <v>105</v>
      </c>
      <c r="AW3" t="s">
        <v>105</v>
      </c>
      <c r="AX3" t="s">
        <v>105</v>
      </c>
      <c r="AY3" s="4"/>
      <c r="AZ3" s="4"/>
    </row>
    <row r="4" spans="1:52" x14ac:dyDescent="0.3">
      <c r="C4" t="s">
        <v>72</v>
      </c>
      <c r="D4" t="s">
        <v>71</v>
      </c>
      <c r="E4" s="5">
        <v>0.39935347596959753</v>
      </c>
      <c r="F4" s="5">
        <v>1</v>
      </c>
      <c r="G4" s="5">
        <v>2.827410835243311E-3</v>
      </c>
      <c r="H4" s="5">
        <v>3.9524478084220207E-3</v>
      </c>
      <c r="I4" s="5">
        <v>0.39314516129038501</v>
      </c>
      <c r="J4" s="5">
        <v>0.40578231292524197</v>
      </c>
      <c r="K4" s="5">
        <v>0.33333333333325799</v>
      </c>
      <c r="L4" s="5">
        <v>0.50000000000022704</v>
      </c>
      <c r="M4" s="5">
        <v>502.3</v>
      </c>
      <c r="Q4" t="s">
        <v>88</v>
      </c>
      <c r="R4" t="s">
        <v>87</v>
      </c>
      <c r="S4" s="5">
        <v>0.75270459623689956</v>
      </c>
      <c r="T4" s="5">
        <v>1.6179738801761465E-2</v>
      </c>
      <c r="U4" s="5">
        <v>2.2617715250553498E-2</v>
      </c>
      <c r="V4" s="5">
        <v>0.71419407115187294</v>
      </c>
      <c r="W4" s="5">
        <v>0.77930529942358095</v>
      </c>
      <c r="X4" s="5">
        <v>0</v>
      </c>
      <c r="Y4" s="5">
        <v>1</v>
      </c>
      <c r="AL4" t="s">
        <v>93</v>
      </c>
      <c r="AM4" t="s">
        <v>94</v>
      </c>
      <c r="AN4" t="s">
        <v>87</v>
      </c>
      <c r="AO4" s="5">
        <v>503.6</v>
      </c>
      <c r="AP4" s="5">
        <v>10.765797948193622</v>
      </c>
      <c r="AQ4" s="5">
        <v>15.04954779682396</v>
      </c>
      <c r="AR4" s="5">
        <v>471</v>
      </c>
      <c r="AS4" s="5">
        <v>522</v>
      </c>
    </row>
    <row r="5" spans="1:52" x14ac:dyDescent="0.3">
      <c r="C5" t="s">
        <v>73</v>
      </c>
      <c r="D5" t="s">
        <v>71</v>
      </c>
      <c r="E5" s="5">
        <v>10.248566869258447</v>
      </c>
      <c r="F5" s="5">
        <v>1</v>
      </c>
      <c r="G5" s="5">
        <v>0.63330701272006318</v>
      </c>
      <c r="H5" s="5">
        <v>0.88530215817338287</v>
      </c>
      <c r="I5" s="5">
        <v>9.1721960352190095</v>
      </c>
      <c r="J5" s="5">
        <v>11.9831875498628</v>
      </c>
      <c r="K5" s="5">
        <v>3.4276236864520802</v>
      </c>
      <c r="L5" s="5">
        <v>48.198252011387503</v>
      </c>
      <c r="M5" s="5">
        <v>502.3</v>
      </c>
      <c r="Q5" t="s">
        <v>89</v>
      </c>
      <c r="R5" t="s">
        <v>87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95</v>
      </c>
      <c r="AM5" t="s">
        <v>96</v>
      </c>
      <c r="AN5" t="s">
        <v>87</v>
      </c>
      <c r="AO5" s="5">
        <v>0.75270459623689956</v>
      </c>
      <c r="AP5" s="5">
        <v>1.6179738801761465E-2</v>
      </c>
      <c r="AQ5" s="5">
        <v>2.2617715250553498E-2</v>
      </c>
      <c r="AR5" s="5">
        <v>0.71419407115187294</v>
      </c>
      <c r="AS5" s="5">
        <v>0.77930529942358095</v>
      </c>
    </row>
    <row r="6" spans="1:52" x14ac:dyDescent="0.3">
      <c r="C6" t="s">
        <v>74</v>
      </c>
      <c r="D6" t="s">
        <v>71</v>
      </c>
      <c r="E6" s="5">
        <v>0.36634340465147713</v>
      </c>
      <c r="F6" s="5">
        <v>1</v>
      </c>
      <c r="G6" s="5">
        <v>1.4137054176207608E-3</v>
      </c>
      <c r="H6" s="5">
        <v>1.9762239042097596E-3</v>
      </c>
      <c r="I6" s="5">
        <v>0.36323924731187401</v>
      </c>
      <c r="J6" s="5">
        <v>0.36955782312929802</v>
      </c>
      <c r="K6" s="5">
        <v>0.33333333333325799</v>
      </c>
      <c r="L6" s="5">
        <v>0.41666666666674201</v>
      </c>
      <c r="M6" s="5">
        <v>502.3</v>
      </c>
      <c r="P6" t="s">
        <v>69</v>
      </c>
      <c r="Q6" t="s">
        <v>90</v>
      </c>
      <c r="R6" t="s">
        <v>71</v>
      </c>
      <c r="S6" s="5">
        <v>2.5818229074561265</v>
      </c>
      <c r="T6" s="5">
        <v>0.18257334807025916</v>
      </c>
      <c r="U6" s="5">
        <v>0.25521994202673726</v>
      </c>
      <c r="V6" s="5">
        <v>2.2160183111888898</v>
      </c>
      <c r="W6" s="5">
        <v>2.9760434619251201</v>
      </c>
      <c r="X6" s="5">
        <v>0</v>
      </c>
      <c r="Y6" s="5">
        <v>16</v>
      </c>
      <c r="AL6" t="s">
        <v>97</v>
      </c>
      <c r="AM6" t="s">
        <v>98</v>
      </c>
      <c r="AN6" t="s">
        <v>71</v>
      </c>
      <c r="AO6" s="5">
        <v>504.6</v>
      </c>
      <c r="AP6" s="5">
        <v>11.026711000736963</v>
      </c>
      <c r="AQ6" s="5">
        <v>15.414279094398156</v>
      </c>
      <c r="AR6" s="5">
        <v>471</v>
      </c>
      <c r="AS6" s="5">
        <v>522</v>
      </c>
    </row>
    <row r="7" spans="1:52" x14ac:dyDescent="0.3">
      <c r="C7" t="s">
        <v>75</v>
      </c>
      <c r="D7" t="s">
        <v>71</v>
      </c>
      <c r="E7" s="5">
        <v>3.7835191397552501</v>
      </c>
      <c r="F7" s="5">
        <v>1</v>
      </c>
      <c r="G7" s="5">
        <v>3.9550019462348089E-2</v>
      </c>
      <c r="H7" s="5">
        <v>5.5287114910399643E-2</v>
      </c>
      <c r="I7" s="5">
        <v>3.6568137276396699</v>
      </c>
      <c r="J7" s="5">
        <v>3.8283595828552399</v>
      </c>
      <c r="K7" s="5">
        <v>2.0138056379726099</v>
      </c>
      <c r="L7" s="5">
        <v>6.7731263660148198</v>
      </c>
      <c r="M7" s="5">
        <v>502.3</v>
      </c>
      <c r="P7" t="s">
        <v>77</v>
      </c>
      <c r="Q7" t="s">
        <v>91</v>
      </c>
      <c r="R7" t="s">
        <v>79</v>
      </c>
      <c r="S7" s="5">
        <v>1.1908106764382831</v>
      </c>
      <c r="T7" s="5">
        <v>0.17644718665595893</v>
      </c>
      <c r="U7" s="5">
        <v>0.24665615888133285</v>
      </c>
      <c r="V7" s="5">
        <v>0.89935067686704995</v>
      </c>
      <c r="W7" s="5">
        <v>1.6405547501891999</v>
      </c>
      <c r="X7" s="5">
        <v>0</v>
      </c>
      <c r="Y7" s="5">
        <v>14</v>
      </c>
      <c r="AL7" t="s">
        <v>99</v>
      </c>
      <c r="AM7" t="s">
        <v>100</v>
      </c>
      <c r="AN7" t="s">
        <v>71</v>
      </c>
      <c r="AO7" s="5">
        <v>502.3</v>
      </c>
      <c r="AP7" s="5">
        <v>10.780839698890771</v>
      </c>
      <c r="AQ7" s="5">
        <v>15.070574714396999</v>
      </c>
      <c r="AR7" s="5">
        <v>470</v>
      </c>
      <c r="AS7" s="5">
        <v>521</v>
      </c>
    </row>
    <row r="8" spans="1:52" x14ac:dyDescent="0.3">
      <c r="C8" t="s">
        <v>76</v>
      </c>
      <c r="D8" t="s">
        <v>71</v>
      </c>
      <c r="E8" s="5">
        <v>5.6993508488821156</v>
      </c>
      <c r="F8" s="5">
        <v>1</v>
      </c>
      <c r="G8" s="5">
        <v>0.66900257231750115</v>
      </c>
      <c r="H8" s="5">
        <v>0.93520110973100146</v>
      </c>
      <c r="I8" s="5">
        <v>4.5808523877670204</v>
      </c>
      <c r="J8" s="5">
        <v>7.5699894136208599</v>
      </c>
      <c r="K8" s="5">
        <v>0.5</v>
      </c>
      <c r="L8" s="5">
        <v>42.648027327890098</v>
      </c>
      <c r="M8" s="5">
        <v>502.3</v>
      </c>
      <c r="P8" t="s">
        <v>80</v>
      </c>
      <c r="Q8" t="s">
        <v>91</v>
      </c>
      <c r="R8" t="s">
        <v>79</v>
      </c>
      <c r="S8" s="5">
        <v>2.4336341708480142E-4</v>
      </c>
      <c r="T8" s="5">
        <v>1.5018604420562854E-4</v>
      </c>
      <c r="U8" s="5">
        <v>2.0994561309482535E-4</v>
      </c>
      <c r="V8" s="5">
        <v>2.2069141604617899E-5</v>
      </c>
      <c r="W8" s="5">
        <v>6.2059425224605404E-4</v>
      </c>
      <c r="X8" s="5">
        <v>0</v>
      </c>
      <c r="Y8" s="5">
        <v>1</v>
      </c>
      <c r="AL8" t="s">
        <v>101</v>
      </c>
      <c r="AM8" t="s">
        <v>94</v>
      </c>
      <c r="AN8" t="s">
        <v>87</v>
      </c>
      <c r="AO8" s="5">
        <v>199.4</v>
      </c>
      <c r="AP8" s="5">
        <v>9.7456713130465058</v>
      </c>
      <c r="AQ8" s="5">
        <v>13.623509092741122</v>
      </c>
      <c r="AR8" s="5">
        <v>177</v>
      </c>
      <c r="AS8" s="5">
        <v>213</v>
      </c>
    </row>
    <row r="9" spans="1:52" x14ac:dyDescent="0.3">
      <c r="B9" t="s">
        <v>77</v>
      </c>
      <c r="C9" t="s">
        <v>78</v>
      </c>
      <c r="D9" t="s">
        <v>79</v>
      </c>
      <c r="E9" s="5">
        <v>4.7152342091170798</v>
      </c>
      <c r="F9" s="5">
        <v>1</v>
      </c>
      <c r="G9" s="5">
        <v>0.66930258547965749</v>
      </c>
      <c r="H9" s="5">
        <v>0.93562049921288415</v>
      </c>
      <c r="I9" s="5">
        <v>3.58508477537548</v>
      </c>
      <c r="J9" s="5">
        <v>6.5885732939325399</v>
      </c>
      <c r="K9" s="5">
        <v>0</v>
      </c>
      <c r="L9" s="5">
        <v>41.981360661223398</v>
      </c>
      <c r="M9" s="5">
        <v>503.6</v>
      </c>
      <c r="P9" t="s">
        <v>92</v>
      </c>
      <c r="Q9" t="s">
        <v>86</v>
      </c>
      <c r="R9" t="s">
        <v>87</v>
      </c>
      <c r="S9" s="5">
        <v>0.19913181661081703</v>
      </c>
      <c r="T9" s="5">
        <v>9.2063464017040682E-3</v>
      </c>
      <c r="U9" s="5">
        <v>1.2869584853188797E-2</v>
      </c>
      <c r="V9" s="5">
        <v>0.17745123836948901</v>
      </c>
      <c r="W9" s="5">
        <v>0.211848867954925</v>
      </c>
      <c r="X9" s="5">
        <v>0</v>
      </c>
      <c r="Y9" s="5">
        <v>1</v>
      </c>
      <c r="AL9" t="s">
        <v>102</v>
      </c>
      <c r="AM9" t="s">
        <v>96</v>
      </c>
      <c r="AN9" t="s">
        <v>87</v>
      </c>
      <c r="AO9" s="5">
        <v>0.19913181661081703</v>
      </c>
      <c r="AP9" s="5">
        <v>9.2063464017040682E-3</v>
      </c>
      <c r="AQ9" s="5">
        <v>1.2869584853188797E-2</v>
      </c>
      <c r="AR9" s="5">
        <v>0.17745123836948901</v>
      </c>
      <c r="AS9" s="5">
        <v>0.211848867954925</v>
      </c>
    </row>
    <row r="10" spans="1:52" x14ac:dyDescent="0.3">
      <c r="B10" t="s">
        <v>80</v>
      </c>
      <c r="C10" t="s">
        <v>78</v>
      </c>
      <c r="D10" t="s">
        <v>79</v>
      </c>
      <c r="E10" s="5">
        <v>2.390274277515413E-3</v>
      </c>
      <c r="F10" s="5">
        <v>1</v>
      </c>
      <c r="G10" s="5">
        <v>1.4579741223020809E-3</v>
      </c>
      <c r="H10" s="5">
        <v>2.0381072862136729E-3</v>
      </c>
      <c r="I10" s="5">
        <v>2.4796788319795399E-4</v>
      </c>
      <c r="J10" s="5">
        <v>5.8271760774277403E-3</v>
      </c>
      <c r="K10" s="5">
        <v>0</v>
      </c>
      <c r="L10" s="5">
        <v>0.73284416306216804</v>
      </c>
      <c r="M10" s="5">
        <v>199.4</v>
      </c>
      <c r="Q10" t="s">
        <v>88</v>
      </c>
      <c r="R10" t="s">
        <v>87</v>
      </c>
      <c r="S10" s="5">
        <v>0.19913181661081703</v>
      </c>
      <c r="T10" s="5">
        <v>9.2063464017040682E-3</v>
      </c>
      <c r="U10" s="5">
        <v>1.2869584853188797E-2</v>
      </c>
      <c r="V10" s="5">
        <v>0.17745123836948901</v>
      </c>
      <c r="W10" s="5">
        <v>0.211848867954925</v>
      </c>
      <c r="X10" s="5">
        <v>0</v>
      </c>
      <c r="Y10" s="5">
        <v>1</v>
      </c>
    </row>
    <row r="11" spans="1:52" x14ac:dyDescent="0.3">
      <c r="B11" t="s">
        <v>81</v>
      </c>
      <c r="C11" t="s">
        <v>78</v>
      </c>
      <c r="D11" t="s">
        <v>79</v>
      </c>
      <c r="E11" s="5">
        <v>1.9072361973256319E-2</v>
      </c>
      <c r="F11" s="5">
        <v>1</v>
      </c>
      <c r="G11" s="5">
        <v>2.655372674435396E-3</v>
      </c>
      <c r="H11" s="5">
        <v>3.7119550426822712E-3</v>
      </c>
      <c r="I11" s="5">
        <v>1.28996514024759E-2</v>
      </c>
      <c r="J11" s="5">
        <v>2.62065064416774E-2</v>
      </c>
      <c r="K11" s="5">
        <v>0</v>
      </c>
      <c r="L11" s="5">
        <v>1.1147114006012699</v>
      </c>
      <c r="M11" s="5">
        <v>504.6</v>
      </c>
      <c r="Q11" t="s">
        <v>89</v>
      </c>
      <c r="R11" t="s">
        <v>87</v>
      </c>
      <c r="S11" s="5">
        <v>1</v>
      </c>
      <c r="T11" s="5">
        <v>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</row>
    <row r="12" spans="1:52" x14ac:dyDescent="0.3">
      <c r="B12" t="s">
        <v>82</v>
      </c>
      <c r="C12" t="s">
        <v>78</v>
      </c>
      <c r="D12" t="s">
        <v>79</v>
      </c>
      <c r="E12" s="5">
        <v>1.0274088559774776E-2</v>
      </c>
      <c r="F12" s="5">
        <v>1</v>
      </c>
      <c r="G12" s="5">
        <v>2.676822517516309E-3</v>
      </c>
      <c r="H12" s="5">
        <v>3.741939855720188E-3</v>
      </c>
      <c r="I12" s="5">
        <v>4.5202037963940796E-3</v>
      </c>
      <c r="J12" s="5">
        <v>1.7544713280225499E-2</v>
      </c>
      <c r="K12" s="5">
        <v>0</v>
      </c>
      <c r="L12" s="5">
        <v>0.68362639578560902</v>
      </c>
      <c r="M12" s="5">
        <v>303.39999999999998</v>
      </c>
      <c r="P12" t="s">
        <v>81</v>
      </c>
      <c r="Q12" t="s">
        <v>91</v>
      </c>
      <c r="R12" t="s">
        <v>79</v>
      </c>
      <c r="S12" s="5">
        <v>4.8190091230550045E-3</v>
      </c>
      <c r="T12" s="5">
        <v>7.1074337464513838E-4</v>
      </c>
      <c r="U12" s="5">
        <v>9.9355072791354948E-4</v>
      </c>
      <c r="V12" s="5">
        <v>3.2120131992165002E-3</v>
      </c>
      <c r="W12" s="5">
        <v>6.7743819151736204E-3</v>
      </c>
      <c r="X12" s="5">
        <v>0</v>
      </c>
      <c r="Y12" s="5">
        <v>2</v>
      </c>
    </row>
    <row r="13" spans="1:52" x14ac:dyDescent="0.3">
      <c r="B13" t="s">
        <v>83</v>
      </c>
      <c r="C13" t="s">
        <v>78</v>
      </c>
      <c r="D13" t="s">
        <v>79</v>
      </c>
      <c r="E13" s="5">
        <v>1.214663698810564E-2</v>
      </c>
      <c r="F13" s="5">
        <v>1</v>
      </c>
      <c r="G13" s="5">
        <v>2.8696933798512732E-3</v>
      </c>
      <c r="H13" s="5">
        <v>4.0115547300929441E-3</v>
      </c>
      <c r="I13" s="5">
        <v>4.1258677798685604E-3</v>
      </c>
      <c r="J13" s="5">
        <v>1.83270635070743E-2</v>
      </c>
      <c r="K13" s="5">
        <v>0</v>
      </c>
      <c r="L13" s="5">
        <v>0.72599175435163898</v>
      </c>
      <c r="M13" s="5">
        <v>199.4</v>
      </c>
      <c r="P13" t="s">
        <v>82</v>
      </c>
      <c r="Q13" t="s">
        <v>91</v>
      </c>
      <c r="R13" t="s">
        <v>79</v>
      </c>
      <c r="S13" s="5">
        <v>1.5696910266493301E-3</v>
      </c>
      <c r="T13" s="5">
        <v>4.3057034897828515E-4</v>
      </c>
      <c r="U13" s="5">
        <v>6.0189584441635625E-4</v>
      </c>
      <c r="V13" s="5">
        <v>7.20972505524855E-4</v>
      </c>
      <c r="W13" s="5">
        <v>2.83347119475641E-3</v>
      </c>
      <c r="X13" s="5">
        <v>0</v>
      </c>
      <c r="Y13" s="5">
        <v>1</v>
      </c>
    </row>
    <row r="14" spans="1:52" x14ac:dyDescent="0.3">
      <c r="B14" t="s">
        <v>84</v>
      </c>
      <c r="C14" t="s">
        <v>78</v>
      </c>
      <c r="D14" t="s">
        <v>79</v>
      </c>
      <c r="E14" s="5">
        <v>1.2245654378318597E-2</v>
      </c>
      <c r="F14" s="5">
        <v>1</v>
      </c>
      <c r="G14" s="5">
        <v>2.9341213255668864E-3</v>
      </c>
      <c r="H14" s="5">
        <v>4.101618787877067E-3</v>
      </c>
      <c r="I14" s="5">
        <v>2.2511402359893999E-3</v>
      </c>
      <c r="J14" s="5">
        <v>1.7143620669457901E-2</v>
      </c>
      <c r="K14" s="5">
        <v>0</v>
      </c>
      <c r="L14" s="5">
        <v>0.89819076808726095</v>
      </c>
      <c r="M14" s="5">
        <v>199.2</v>
      </c>
      <c r="P14" t="s">
        <v>83</v>
      </c>
      <c r="Q14" t="s">
        <v>91</v>
      </c>
      <c r="R14" t="s">
        <v>79</v>
      </c>
      <c r="S14" s="5">
        <v>1.2093263692077995E-3</v>
      </c>
      <c r="T14" s="5">
        <v>2.8554515794241967E-4</v>
      </c>
      <c r="U14" s="5">
        <v>3.991646065888812E-4</v>
      </c>
      <c r="V14" s="5">
        <v>3.9608330686738202E-4</v>
      </c>
      <c r="W14" s="5">
        <v>1.78688869193974E-3</v>
      </c>
      <c r="X14" s="5">
        <v>0</v>
      </c>
      <c r="Y14" s="5">
        <v>1</v>
      </c>
    </row>
    <row r="15" spans="1:52" x14ac:dyDescent="0.3">
      <c r="P15" t="s">
        <v>84</v>
      </c>
      <c r="Q15" t="s">
        <v>91</v>
      </c>
      <c r="R15" t="s">
        <v>79</v>
      </c>
      <c r="S15" s="5">
        <v>1.2386545997793272E-3</v>
      </c>
      <c r="T15" s="5">
        <v>3.2083970764496515E-4</v>
      </c>
      <c r="U15" s="5">
        <v>4.4850298496750961E-4</v>
      </c>
      <c r="V15" s="5">
        <v>1.9922591088506199E-4</v>
      </c>
      <c r="W15" s="5">
        <v>1.8257956012972701E-3</v>
      </c>
      <c r="X15" s="5">
        <v>0</v>
      </c>
      <c r="Y15" s="5">
        <v>1</v>
      </c>
    </row>
  </sheetData>
  <dataConsolidate/>
  <conditionalFormatting pivot="1" sqref="G3:G14">
    <cfRule type="expression" dxfId="31" priority="10">
      <formula>G3=200000000000000000000</formula>
    </cfRule>
  </conditionalFormatting>
  <conditionalFormatting pivot="1" sqref="T3:T15">
    <cfRule type="expression" dxfId="30" priority="9">
      <formula>T3=200000000000000000000</formula>
    </cfRule>
  </conditionalFormatting>
  <conditionalFormatting pivot="1" sqref="T3:T15">
    <cfRule type="expression" dxfId="29" priority="8">
      <formula>T3=300000000000000000000</formula>
    </cfRule>
  </conditionalFormatting>
  <conditionalFormatting pivot="1" sqref="G3:G14">
    <cfRule type="expression" dxfId="28" priority="7">
      <formula>G3=300000000000000000000</formula>
    </cfRule>
  </conditionalFormatting>
  <conditionalFormatting pivot="1" sqref="F3:F14">
    <cfRule type="expression" dxfId="27" priority="6">
      <formula>F3=0</formula>
    </cfRule>
  </conditionalFormatting>
  <conditionalFormatting pivot="1" sqref="F3:F14">
    <cfRule type="expression" dxfId="26" priority="5">
      <formula>F3=1</formula>
    </cfRule>
  </conditionalFormatting>
  <conditionalFormatting pivot="1" sqref="T3:T15">
    <cfRule type="expression" dxfId="25" priority="4">
      <formula>T3=400000000000000000000</formula>
    </cfRule>
  </conditionalFormatting>
  <conditionalFormatting pivot="1" sqref="AP3:AP9">
    <cfRule type="expression" dxfId="24" priority="3">
      <formula>AP3=400000000000000000000</formula>
    </cfRule>
  </conditionalFormatting>
  <conditionalFormatting pivot="1" sqref="AF3">
    <cfRule type="expression" dxfId="23" priority="2">
      <formula>AF3=400000000000000000000</formula>
    </cfRule>
  </conditionalFormatting>
  <conditionalFormatting pivot="1" sqref="G3:G14">
    <cfRule type="expression" dxfId="22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21"/>
  <sheetViews>
    <sheetView workbookViewId="0">
      <selection activeCell="K2" sqref="K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3.664062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54.66406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2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0</v>
      </c>
      <c r="I2">
        <v>0</v>
      </c>
      <c r="J2">
        <v>0</v>
      </c>
      <c r="K2">
        <v>501</v>
      </c>
      <c r="L2" t="str">
        <f>DiscreteStatsTable[[#This Row],[ProjectName]]&amp;DiscreteStatsTable[[#This Row],[Name]]&amp;DiscreteStatsTable[[#This Row],[Type]]&amp;DiscreteStatsTable[[#This Row],[Source]]</f>
        <v>Unnamed ProjectPECASNVA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502.3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0.39787092481710801</v>
      </c>
      <c r="H3">
        <v>6.1617336439035303E-3</v>
      </c>
      <c r="I3">
        <v>0.33333333333325799</v>
      </c>
      <c r="J3">
        <v>0.50000000000022704</v>
      </c>
      <c r="K3">
        <v>501</v>
      </c>
      <c r="L3" t="str">
        <f>DiscreteStatsTable[[#This Row],[ProjectName]]&amp;DiscreteStatsTable[[#This Row],[Name]]&amp;DiscreteStatsTable[[#This Row],[Type]]&amp;DiscreteStatsTable[[#This Row],[Source]]</f>
        <v>Unnamed ProjectPECASOther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0.39935347596959753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0.39314516129038501</v>
      </c>
      <c r="S3" cm="1">
        <f t="array" ref="S3">MAX(IF((DiscreteStatsTable[GroupByKey]=DiscreteStatsTable[[#This Row],[GroupByKey]]),(DiscreteStatsTable[GroupByKey]=DiscreteStatsTable[[#This Row],[GroupByKey]])*DiscreteStatsTable[Average]))</f>
        <v>0.40578231292524197</v>
      </c>
      <c r="T3" cm="1">
        <f t="array" ref="T3">MIN(IF((DiscreteStatsTable[GroupByKey]=DiscreteStatsTable[[#This Row],[GroupByKey]]),(DiscreteStatsTable[GroupByKey]=DiscreteStatsTable[[#This Row],[GroupByKey]])*DiscreteStatsTable[Minimum]))</f>
        <v>0.33333333333325799</v>
      </c>
      <c r="U3" cm="1">
        <f t="array" ref="U3">MAX(IF((DiscreteStatsTable[GroupByKey]=DiscreteStatsTable[[#This Row],[GroupByKey]]),(DiscreteStatsTable[GroupByKey]=DiscreteStatsTable[[#This Row],[GroupByKey]])*DiscreteStatsTable[Maximum]))</f>
        <v>0.50000000000022704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502.3</v>
      </c>
      <c r="W3">
        <f>IF((DiscreteStatsTable[[#This Row],[RepsRequested]]&gt;1),DiscreteStatsTable[[#This Row],[HalfWidth]],DiscreteStatsTable[[#This Row],[BatchMeansHalfWidth]])</f>
        <v>2.827410835243311E-3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10.445336135317</v>
      </c>
      <c r="H4">
        <v>1.3904057473670199</v>
      </c>
      <c r="I4">
        <v>3.6193771642463202</v>
      </c>
      <c r="J4">
        <v>29.6764614306251</v>
      </c>
      <c r="K4">
        <v>501</v>
      </c>
      <c r="L4" t="str">
        <f>DiscreteStatsTable[[#This Row],[ProjectName]]&amp;DiscreteStatsTable[[#This Row],[Name]]&amp;DiscreteStatsTable[[#This Row],[Type]]&amp;DiscreteStatsTable[[#This Row],[Source]]</f>
        <v>Unnamed ProjectPECASTotal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10.248566869258447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0.88530215817338287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4" cm="1">
        <f t="array" ref="R4">MIN(IF((DiscreteStatsTable[GroupByKey]=DiscreteStatsTable[[#This Row],[GroupByKey]]),(DiscreteStatsTable[GroupByKey]=DiscreteStatsTable[[#This Row],[GroupByKey]])*DiscreteStatsTable[Average]))</f>
        <v>9.1721960352190095</v>
      </c>
      <c r="S4" cm="1">
        <f t="array" ref="S4">MAX(IF((DiscreteStatsTable[GroupByKey]=DiscreteStatsTable[[#This Row],[GroupByKey]]),(DiscreteStatsTable[GroupByKey]=DiscreteStatsTable[[#This Row],[GroupByKey]])*DiscreteStatsTable[Average]))</f>
        <v>11.9831875498628</v>
      </c>
      <c r="T4" cm="1">
        <f t="array" ref="T4">MIN(IF((DiscreteStatsTable[GroupByKey]=DiscreteStatsTable[[#This Row],[GroupByKey]]),(DiscreteStatsTable[GroupByKey]=DiscreteStatsTable[[#This Row],[GroupByKey]])*DiscreteStatsTable[Minimum]))</f>
        <v>3.4276236864520802</v>
      </c>
      <c r="U4" cm="1">
        <f t="array" ref="U4">MAX(IF((DiscreteStatsTable[GroupByKey]=DiscreteStatsTable[[#This Row],[GroupByKey]]),(DiscreteStatsTable[GroupByKey]=DiscreteStatsTable[[#This Row],[GroupByKey]])*DiscreteStatsTable[Maximum]))</f>
        <v>48.198252011387503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502.3</v>
      </c>
      <c r="W4">
        <f>IF((DiscreteStatsTable[[#This Row],[RepsRequested]]&gt;1),DiscreteStatsTable[[#This Row],[HalfWidth]],DiscreteStatsTable[[#This Row],[BatchMeansHalfWidth]])</f>
        <v>0.63330701272006318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0.36560212907523398</v>
      </c>
      <c r="H5">
        <v>3.0808668219496601E-3</v>
      </c>
      <c r="I5">
        <v>0.33333333333325799</v>
      </c>
      <c r="J5">
        <v>0.41666666666674201</v>
      </c>
      <c r="K5">
        <v>501</v>
      </c>
      <c r="L5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0.36634340465147713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5" cm="1">
        <f t="array" ref="R5">MIN(IF((DiscreteStatsTable[GroupByKey]=DiscreteStatsTable[[#This Row],[GroupByKey]]),(DiscreteStatsTable[GroupByKey]=DiscreteStatsTable[[#This Row],[GroupByKey]])*DiscreteStatsTable[Average]))</f>
        <v>0.36323924731187401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0.36955782312929802</v>
      </c>
      <c r="T5" cm="1">
        <f t="array" ref="T5">MIN(IF((DiscreteStatsTable[GroupByKey]=DiscreteStatsTable[[#This Row],[GroupByKey]]),(DiscreteStatsTable[GroupByKey]=DiscreteStatsTable[[#This Row],[GroupByKey]])*DiscreteStatsTable[Minimum]))</f>
        <v>0.33333333333325799</v>
      </c>
      <c r="U5" cm="1">
        <f t="array" ref="U5">MAX(IF((DiscreteStatsTable[GroupByKey]=DiscreteStatsTable[[#This Row],[GroupByKey]]),(DiscreteStatsTable[GroupByKey]=DiscreteStatsTable[[#This Row],[GroupByKey]])*DiscreteStatsTable[Maximum]))</f>
        <v>0.41666666666674201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502.3</v>
      </c>
      <c r="W5">
        <f>IF((DiscreteStatsTable[[#This Row],[RepsRequested]]&gt;1),DiscreteStatsTable[[#This Row],[HalfWidth]],DiscreteStatsTable[[#This Row],[BatchMeansHalfWidth]])</f>
        <v>1.4137054176207608E-3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3.7833179341877301</v>
      </c>
      <c r="H6">
        <v>8.6701092157458706E-2</v>
      </c>
      <c r="I6">
        <v>2.0532283924059702</v>
      </c>
      <c r="J6">
        <v>6.1837125112453997</v>
      </c>
      <c r="K6">
        <v>501</v>
      </c>
      <c r="L6" t="str">
        <f>DiscreteStatsTable[[#This Row],[ProjectName]]&amp;DiscreteStatsTable[[#This Row],[Name]]&amp;DiscreteStatsTable[[#This Row],[Type]]&amp;DiscreteStatsTable[[#This Row],[Source]]</f>
        <v>Unnamed ProjectPECASVA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3.7835191397552501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6" cm="1">
        <f t="array" ref="R6">MIN(IF((DiscreteStatsTable[GroupByKey]=DiscreteStatsTable[[#This Row],[GroupByKey]]),(DiscreteStatsTable[GroupByKey]=DiscreteStatsTable[[#This Row],[GroupByKey]])*DiscreteStatsTable[Average]))</f>
        <v>3.6568137276396699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3.8283595828552399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2.0138056379726099</v>
      </c>
      <c r="U6" cm="1">
        <f t="array" ref="U6">MAX(IF((DiscreteStatsTable[GroupByKey]=DiscreteStatsTable[[#This Row],[GroupByKey]]),(DiscreteStatsTable[GroupByKey]=DiscreteStatsTable[[#This Row],[GroupByKey]])*DiscreteStatsTable[Maximum]))</f>
        <v>6.7731263660148198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502.3</v>
      </c>
      <c r="W6">
        <f>IF((DiscreteStatsTable[[#This Row],[RepsRequested]]&gt;1),DiscreteStatsTable[[#This Row],[HalfWidth]],DiscreteStatsTable[[#This Row],[BatchMeansHalfWidth]])</f>
        <v>3.9550019462348089E-2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5.8985451472368799</v>
      </c>
      <c r="H7">
        <v>1.3709850249028399</v>
      </c>
      <c r="I7">
        <v>0.66666666666662899</v>
      </c>
      <c r="J7">
        <v>23.3931258599034</v>
      </c>
      <c r="K7">
        <v>501</v>
      </c>
      <c r="L7" t="str">
        <f>DiscreteStatsTable[[#This Row],[ProjectName]]&amp;DiscreteStatsTable[[#This Row],[Name]]&amp;DiscreteStatsTable[[#This Row],[Type]]&amp;DiscreteStatsTable[[#This Row],[Source]]</f>
        <v>Unnamed ProjectPECASWait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5.6993508488821156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0.93520110973100146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7" cm="1">
        <f t="array" ref="R7">MIN(IF((DiscreteStatsTable[GroupByKey]=DiscreteStatsTable[[#This Row],[GroupByKey]]),(DiscreteStatsTable[GroupByKey]=DiscreteStatsTable[[#This Row],[GroupByKey]])*DiscreteStatsTable[Average]))</f>
        <v>4.5808523877670204</v>
      </c>
      <c r="S7" cm="1">
        <f t="array" ref="S7">MAX(IF((DiscreteStatsTable[GroupByKey]=DiscreteStatsTable[[#This Row],[GroupByKey]]),(DiscreteStatsTable[GroupByKey]=DiscreteStatsTable[[#This Row],[GroupByKey]])*DiscreteStatsTable[Average]))</f>
        <v>7.5699894136208599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0.5</v>
      </c>
      <c r="U7" cm="1">
        <f t="array" ref="U7">MAX(IF((DiscreteStatsTable[GroupByKey]=DiscreteStatsTable[[#This Row],[GroupByKey]]),(DiscreteStatsTable[GroupByKey]=DiscreteStatsTable[[#This Row],[GroupByKey]])*DiscreteStatsTable[Maximum]))</f>
        <v>42.648027327890098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502.3</v>
      </c>
      <c r="W7">
        <f>IF((DiscreteStatsTable[[#This Row],[RepsRequested]]&gt;1),DiscreteStatsTable[[#This Row],[HalfWidth]],DiscreteStatsTable[[#This Row],[BatchMeansHalfWidth]])</f>
        <v>0.66900257231750115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0</v>
      </c>
      <c r="I8">
        <v>0</v>
      </c>
      <c r="J8">
        <v>0</v>
      </c>
      <c r="K8">
        <v>512</v>
      </c>
      <c r="L8" t="str">
        <f>DiscreteStatsTable[[#This Row],[ProjectName]]&amp;DiscreteStatsTable[[#This Row],[Name]]&amp;DiscreteStatsTable[[#This Row],[Type]]&amp;DiscreteStatsTable[[#This Row],[Source]]</f>
        <v>Unnamed ProjectPECASNVA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502.3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0.401367187500067</v>
      </c>
      <c r="H9">
        <v>7.2027110201738596E-3</v>
      </c>
      <c r="I9">
        <v>0.33333333333325799</v>
      </c>
      <c r="J9">
        <v>0.50000000000022704</v>
      </c>
      <c r="K9">
        <v>512</v>
      </c>
      <c r="L9" t="str">
        <f>DiscreteStatsTable[[#This Row],[ProjectName]]&amp;DiscreteStatsTable[[#This Row],[Name]]&amp;DiscreteStatsTable[[#This Row],[Type]]&amp;DiscreteStatsTable[[#This Row],[Source]]</f>
        <v>Unnamed ProjectPECASOther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0.39935347596959753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0.39314516129038501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0.40578231292524197</v>
      </c>
      <c r="T9" cm="1">
        <f t="array" ref="T9">MIN(IF((DiscreteStatsTable[GroupByKey]=DiscreteStatsTable[[#This Row],[GroupByKey]]),(DiscreteStatsTable[GroupByKey]=DiscreteStatsTable[[#This Row],[GroupByKey]])*DiscreteStatsTable[Minimum]))</f>
        <v>0.33333333333325799</v>
      </c>
      <c r="U9" cm="1">
        <f t="array" ref="U9">MAX(IF((DiscreteStatsTable[GroupByKey]=DiscreteStatsTable[[#This Row],[GroupByKey]]),(DiscreteStatsTable[GroupByKey]=DiscreteStatsTable[[#This Row],[GroupByKey]])*DiscreteStatsTable[Maximum]))</f>
        <v>0.50000000000022704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502.3</v>
      </c>
      <c r="W9">
        <f>IF((DiscreteStatsTable[[#This Row],[RepsRequested]]&gt;1),DiscreteStatsTable[[#This Row],[HalfWidth]],DiscreteStatsTable[[#This Row],[BatchMeansHalfWidth]])</f>
        <v>2.827410835243311E-3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9.4533697215902599</v>
      </c>
      <c r="H10">
        <v>0.91802346338402296</v>
      </c>
      <c r="I10">
        <v>3.4276236864520802</v>
      </c>
      <c r="J10">
        <v>22.473731906184</v>
      </c>
      <c r="K10">
        <v>512</v>
      </c>
      <c r="L10" t="str">
        <f>DiscreteStatsTable[[#This Row],[ProjectName]]&amp;DiscreteStatsTable[[#This Row],[Name]]&amp;DiscreteStatsTable[[#This Row],[Type]]&amp;DiscreteStatsTable[[#This Row],[Source]]</f>
        <v>Unnamed ProjectPECASTotal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10.248566869258447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0.88530215817338287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9.1721960352190095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11.9831875498628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3.4276236864520802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48.198252011387503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502.3</v>
      </c>
      <c r="W10">
        <f>IF((DiscreteStatsTable[[#This Row],[RepsRequested]]&gt;1),DiscreteStatsTable[[#This Row],[HalfWidth]],DiscreteStatsTable[[#This Row],[BatchMeansHalfWidth]])</f>
        <v>0.63330701272006318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0.36735026041671198</v>
      </c>
      <c r="H11">
        <v>3.6013555100823701E-3</v>
      </c>
      <c r="I11">
        <v>0.33333333333325799</v>
      </c>
      <c r="J11">
        <v>0.41666666666674201</v>
      </c>
      <c r="K11">
        <v>512</v>
      </c>
      <c r="L11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0.36634340465147713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0.36323924731187401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0.36955782312929802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0.33333333333325799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0.41666666666674201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502.3</v>
      </c>
      <c r="W11">
        <f>IF((DiscreteStatsTable[[#This Row],[RepsRequested]]&gt;1),DiscreteStatsTable[[#This Row],[HalfWidth]],DiscreteStatsTable[[#This Row],[BatchMeansHalfWidth]])</f>
        <v>1.4137054176207608E-3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3.8197111984593</v>
      </c>
      <c r="H12">
        <v>8.5659400967255397E-2</v>
      </c>
      <c r="I12">
        <v>2.0138056379726099</v>
      </c>
      <c r="J12">
        <v>6.2682479472255199</v>
      </c>
      <c r="K12">
        <v>512</v>
      </c>
      <c r="L12" t="str">
        <f>DiscreteStatsTable[[#This Row],[ProjectName]]&amp;DiscreteStatsTable[[#This Row],[Name]]&amp;DiscreteStatsTable[[#This Row],[Type]]&amp;DiscreteStatsTable[[#This Row],[Source]]</f>
        <v>Unnamed ProjectPECASVA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3.7835191397552501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3.6568137276396699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3.8283595828552399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2.0138056379726099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6.7731263660148198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502.3</v>
      </c>
      <c r="W12">
        <f>IF((DiscreteStatsTable[[#This Row],[RepsRequested]]&gt;1),DiscreteStatsTable[[#This Row],[HalfWidth]],DiscreteStatsTable[[#This Row],[BatchMeansHalfWidth]])</f>
        <v>3.9550019462348089E-2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4.8649410752141797</v>
      </c>
      <c r="H13">
        <v>0.91168346977938197</v>
      </c>
      <c r="I13">
        <v>0.5</v>
      </c>
      <c r="J13">
        <v>16.565529732507201</v>
      </c>
      <c r="K13">
        <v>512</v>
      </c>
      <c r="L13" t="str">
        <f>DiscreteStatsTable[[#This Row],[ProjectName]]&amp;DiscreteStatsTable[[#This Row],[Name]]&amp;DiscreteStatsTable[[#This Row],[Type]]&amp;DiscreteStatsTable[[#This Row],[Source]]</f>
        <v>Unnamed ProjectPECASWait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5.6993508488821156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0.93520110973100146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4.5808523877670204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7.5699894136208599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0.5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42.648027327890098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502.3</v>
      </c>
      <c r="W13">
        <f>IF((DiscreteStatsTable[[#This Row],[RepsRequested]]&gt;1),DiscreteStatsTable[[#This Row],[HalfWidth]],DiscreteStatsTable[[#This Row],[BatchMeansHalfWidth]])</f>
        <v>0.66900257231750115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0</v>
      </c>
      <c r="I14">
        <v>0</v>
      </c>
      <c r="J14">
        <v>0</v>
      </c>
      <c r="K14">
        <v>517</v>
      </c>
      <c r="L14" t="str">
        <f>DiscreteStatsTable[[#This Row],[ProjectName]]&amp;DiscreteStatsTable[[#This Row],[Name]]&amp;DiscreteStatsTable[[#This Row],[Type]]&amp;DiscreteStatsTable[[#This Row],[Source]]</f>
        <v>Unnamed ProjectPECASNVA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502.3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0.401353965183814</v>
      </c>
      <c r="H15">
        <v>7.2027110201827197E-3</v>
      </c>
      <c r="I15">
        <v>0.33333333333325799</v>
      </c>
      <c r="J15">
        <v>0.50000000000022704</v>
      </c>
      <c r="K15">
        <v>517</v>
      </c>
      <c r="L15" t="str">
        <f>DiscreteStatsTable[[#This Row],[ProjectName]]&amp;DiscreteStatsTable[[#This Row],[Name]]&amp;DiscreteStatsTable[[#This Row],[Type]]&amp;DiscreteStatsTable[[#This Row],[Source]]</f>
        <v>Unnamed ProjectPECASOther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0.39935347596959753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0.39314516129038501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0.40578231292524197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0.33333333333325799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0.50000000000022704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502.3</v>
      </c>
      <c r="W15">
        <f>IF((DiscreteStatsTable[[#This Row],[RepsRequested]]&gt;1),DiscreteStatsTable[[#This Row],[HalfWidth]],DiscreteStatsTable[[#This Row],[BatchMeansHalfWidth]])</f>
        <v>2.827410835243311E-3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10.154770905820699</v>
      </c>
      <c r="H16">
        <v>1.0298677631172499</v>
      </c>
      <c r="I16">
        <v>3.68640856629793</v>
      </c>
      <c r="J16">
        <v>26.182917245950701</v>
      </c>
      <c r="K16">
        <v>517</v>
      </c>
      <c r="L16" t="str">
        <f>DiscreteStatsTable[[#This Row],[ProjectName]]&amp;DiscreteStatsTable[[#This Row],[Name]]&amp;DiscreteStatsTable[[#This Row],[Type]]&amp;DiscreteStatsTable[[#This Row],[Source]]</f>
        <v>Unnamed ProjectPECASTotal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10.248566869258447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0.88530215817338287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9.1721960352190095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11.9831875498628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3.4276236864520802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48.198252011387503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502.3</v>
      </c>
      <c r="W16">
        <f>IF((DiscreteStatsTable[[#This Row],[RepsRequested]]&gt;1),DiscreteStatsTable[[#This Row],[HalfWidth]],DiscreteStatsTable[[#This Row],[BatchMeansHalfWidth]])</f>
        <v>0.63330701272006318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0.36734364925858298</v>
      </c>
      <c r="H17">
        <v>3.6013555100903299E-3</v>
      </c>
      <c r="I17">
        <v>0.33333333333325799</v>
      </c>
      <c r="J17">
        <v>0.41666666666674201</v>
      </c>
      <c r="K17">
        <v>517</v>
      </c>
      <c r="L17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0.36634340465147713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0.36323924731187401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0.36955782312929802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0.33333333333325799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0.41666666666674201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502.3</v>
      </c>
      <c r="W17">
        <f>IF((DiscreteStatsTable[[#This Row],[RepsRequested]]&gt;1),DiscreteStatsTable[[#This Row],[HalfWidth]],DiscreteStatsTable[[#This Row],[BatchMeansHalfWidth]])</f>
        <v>1.4137054176207608E-3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3.80489535261502</v>
      </c>
      <c r="H18">
        <v>9.1817551369482595E-2</v>
      </c>
      <c r="I18">
        <v>2.05543184497105</v>
      </c>
      <c r="J18">
        <v>6.2230634688103201</v>
      </c>
      <c r="K18">
        <v>517</v>
      </c>
      <c r="L18" t="str">
        <f>DiscreteStatsTable[[#This Row],[ProjectName]]&amp;DiscreteStatsTable[[#This Row],[Name]]&amp;DiscreteStatsTable[[#This Row],[Type]]&amp;DiscreteStatsTable[[#This Row],[Source]]</f>
        <v>Unnamed ProjectPECASVA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3.7835191397552501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3.6568137276396699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3.8283595828552399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2.0138056379726099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6.7731263660148198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502.3</v>
      </c>
      <c r="W18">
        <f>IF((DiscreteStatsTable[[#This Row],[RepsRequested]]&gt;1),DiscreteStatsTable[[#This Row],[HalfWidth]],DiscreteStatsTable[[#This Row],[BatchMeansHalfWidth]])</f>
        <v>3.9550019462348089E-2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5.5811779387632701</v>
      </c>
      <c r="H19">
        <v>1.0289733511413901</v>
      </c>
      <c r="I19">
        <v>0.66666666666662899</v>
      </c>
      <c r="J19">
        <v>22.823746379897202</v>
      </c>
      <c r="K19">
        <v>517</v>
      </c>
      <c r="L19" t="str">
        <f>DiscreteStatsTable[[#This Row],[ProjectName]]&amp;DiscreteStatsTable[[#This Row],[Name]]&amp;DiscreteStatsTable[[#This Row],[Type]]&amp;DiscreteStatsTable[[#This Row],[Source]]</f>
        <v>Unnamed ProjectPECASWait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5.6993508488821156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0.93520110973100146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4.5808523877670204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7.5699894136208599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0.5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42.648027327890098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502.3</v>
      </c>
      <c r="W19">
        <f>IF((DiscreteStatsTable[[#This Row],[RepsRequested]]&gt;1),DiscreteStatsTable[[#This Row],[HalfWidth]],DiscreteStatsTable[[#This Row],[BatchMeansHalfWidth]])</f>
        <v>0.66900257231750115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0</v>
      </c>
      <c r="I20">
        <v>0</v>
      </c>
      <c r="J20">
        <v>0</v>
      </c>
      <c r="K20">
        <v>514</v>
      </c>
      <c r="L20" t="str">
        <f>DiscreteStatsTable[[#This Row],[ProjectName]]&amp;DiscreteStatsTable[[#This Row],[Name]]&amp;DiscreteStatsTable[[#This Row],[Type]]&amp;DiscreteStatsTable[[#This Row],[Source]]</f>
        <v>Unnamed ProjectPECASNVA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502.3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0.39526588845662097</v>
      </c>
      <c r="H21">
        <v>8.2044689759284105E-3</v>
      </c>
      <c r="I21">
        <v>0.33333333333325799</v>
      </c>
      <c r="J21">
        <v>0.50000000000022704</v>
      </c>
      <c r="K21">
        <v>514</v>
      </c>
      <c r="L21" t="str">
        <f>DiscreteStatsTable[[#This Row],[ProjectName]]&amp;DiscreteStatsTable[[#This Row],[Name]]&amp;DiscreteStatsTable[[#This Row],[Type]]&amp;DiscreteStatsTable[[#This Row],[Source]]</f>
        <v>Unnamed ProjectPECASOther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0.39935347596959753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0.39314516129038501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0.40578231292524197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0.33333333333325799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0.50000000000022704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502.3</v>
      </c>
      <c r="W21">
        <f>IF((DiscreteStatsTable[[#This Row],[RepsRequested]]&gt;1),DiscreteStatsTable[[#This Row],[HalfWidth]],DiscreteStatsTable[[#This Row],[BatchMeansHalfWidth]])</f>
        <v>2.827410835243311E-3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10.6347369026774</v>
      </c>
      <c r="H22">
        <v>3E+20</v>
      </c>
      <c r="I22">
        <v>3.72615438515595</v>
      </c>
      <c r="J22">
        <v>33.062457628612499</v>
      </c>
      <c r="K22">
        <v>514</v>
      </c>
      <c r="L22" t="str">
        <f>DiscreteStatsTable[[#This Row],[ProjectName]]&amp;DiscreteStatsTable[[#This Row],[Name]]&amp;DiscreteStatsTable[[#This Row],[Type]]&amp;DiscreteStatsTable[[#This Row],[Source]]</f>
        <v>Unnamed ProjectPECASTotal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10.248566869258447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0.88530215817338287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9.1721960352190095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11.9831875498628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3.4276236864520802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48.198252011387503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502.3</v>
      </c>
      <c r="W22">
        <f>IF((DiscreteStatsTable[[#This Row],[RepsRequested]]&gt;1),DiscreteStatsTable[[#This Row],[HalfWidth]],DiscreteStatsTable[[#This Row],[BatchMeansHalfWidth]])</f>
        <v>0.63330701272006318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0.36429961089498902</v>
      </c>
      <c r="H23">
        <v>4.10223448796337E-3</v>
      </c>
      <c r="I23">
        <v>0.33333333333325799</v>
      </c>
      <c r="J23">
        <v>0.41666666666674201</v>
      </c>
      <c r="K23">
        <v>514</v>
      </c>
      <c r="L23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0.36634340465147713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0.36323924731187401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0.36955782312929802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0.33333333333325799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0.41666666666674201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502.3</v>
      </c>
      <c r="W23">
        <f>IF((DiscreteStatsTable[[#This Row],[RepsRequested]]&gt;1),DiscreteStatsTable[[#This Row],[HalfWidth]],DiscreteStatsTable[[#This Row],[BatchMeansHalfWidth]])</f>
        <v>1.4137054176207608E-3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3.7192590237283998</v>
      </c>
      <c r="H24">
        <v>9.4237861114751395E-2</v>
      </c>
      <c r="I24">
        <v>2.0253115400503199</v>
      </c>
      <c r="J24">
        <v>6.6837217950451304</v>
      </c>
      <c r="K24">
        <v>514</v>
      </c>
      <c r="L24" t="str">
        <f>DiscreteStatsTable[[#This Row],[ProjectName]]&amp;DiscreteStatsTable[[#This Row],[Name]]&amp;DiscreteStatsTable[[#This Row],[Type]]&amp;DiscreteStatsTable[[#This Row],[Source]]</f>
        <v>Unnamed ProjectPECASVA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3.7835191397552501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3.6568137276396699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3.8283595828552399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2.0138056379726099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6.7731263660148198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502.3</v>
      </c>
      <c r="W24">
        <f>IF((DiscreteStatsTable[[#This Row],[RepsRequested]]&gt;1),DiscreteStatsTable[[#This Row],[HalfWidth]],DiscreteStatsTable[[#This Row],[BatchMeansHalfWidth]])</f>
        <v>3.9550019462348089E-2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6.1559123795973996</v>
      </c>
      <c r="H25">
        <v>3E+20</v>
      </c>
      <c r="I25">
        <v>0.66666666666662899</v>
      </c>
      <c r="J25">
        <v>27.953950818911601</v>
      </c>
      <c r="K25">
        <v>514</v>
      </c>
      <c r="L25" t="str">
        <f>DiscreteStatsTable[[#This Row],[ProjectName]]&amp;DiscreteStatsTable[[#This Row],[Name]]&amp;DiscreteStatsTable[[#This Row],[Type]]&amp;DiscreteStatsTable[[#This Row],[Source]]</f>
        <v>Unnamed ProjectPECASWait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5.6993508488821156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0.93520110973100146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4.5808523877670204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7.5699894136208599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0.5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42.648027327890098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502.3</v>
      </c>
      <c r="W25">
        <f>IF((DiscreteStatsTable[[#This Row],[RepsRequested]]&gt;1),DiscreteStatsTable[[#This Row],[HalfWidth]],DiscreteStatsTable[[#This Row],[BatchMeansHalfWidth]])</f>
        <v>0.66900257231750115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0</v>
      </c>
      <c r="I26">
        <v>0</v>
      </c>
      <c r="J26">
        <v>0</v>
      </c>
      <c r="K26">
        <v>503</v>
      </c>
      <c r="L26" t="str">
        <f>DiscreteStatsTable[[#This Row],[ProjectName]]&amp;DiscreteStatsTable[[#This Row],[Name]]&amp;DiscreteStatsTable[[#This Row],[Type]]&amp;DiscreteStatsTable[[#This Row],[Source]]</f>
        <v>Unnamed ProjectPECASNVA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502.3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0.40390987408887702</v>
      </c>
      <c r="H27">
        <v>8.2505229025405906E-3</v>
      </c>
      <c r="I27">
        <v>0.33333333333325799</v>
      </c>
      <c r="J27">
        <v>0.50000000000022704</v>
      </c>
      <c r="K27">
        <v>503</v>
      </c>
      <c r="L27" t="str">
        <f>DiscreteStatsTable[[#This Row],[ProjectName]]&amp;DiscreteStatsTable[[#This Row],[Name]]&amp;DiscreteStatsTable[[#This Row],[Type]]&amp;DiscreteStatsTable[[#This Row],[Source]]</f>
        <v>Unnamed ProjectPECASOther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0.39935347596959753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0.39314516129038501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0.40578231292524197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0.33333333333325799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0.50000000000022704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502.3</v>
      </c>
      <c r="W27">
        <f>IF((DiscreteStatsTable[[#This Row],[RepsRequested]]&gt;1),DiscreteStatsTable[[#This Row],[HalfWidth]],DiscreteStatsTable[[#This Row],[BatchMeansHalfWidth]])</f>
        <v>2.827410835243311E-3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10.157923852300801</v>
      </c>
      <c r="H28">
        <v>3E+20</v>
      </c>
      <c r="I28">
        <v>3.61354844535526</v>
      </c>
      <c r="J28">
        <v>48.198252011387503</v>
      </c>
      <c r="K28">
        <v>503</v>
      </c>
      <c r="L28" t="str">
        <f>DiscreteStatsTable[[#This Row],[ProjectName]]&amp;DiscreteStatsTable[[#This Row],[Name]]&amp;DiscreteStatsTable[[#This Row],[Type]]&amp;DiscreteStatsTable[[#This Row],[Source]]</f>
        <v>Unnamed ProjectPECASTotal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10.248566869258447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0.88530215817338287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9.1721960352190095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11.9831875498628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3.4276236864520802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48.198252011387503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502.3</v>
      </c>
      <c r="W28">
        <f>IF((DiscreteStatsTable[[#This Row],[RepsRequested]]&gt;1),DiscreteStatsTable[[#This Row],[HalfWidth]],DiscreteStatsTable[[#This Row],[BatchMeansHalfWidth]])</f>
        <v>0.63330701272006318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0.36862160371111502</v>
      </c>
      <c r="H29">
        <v>4.12526145126895E-3</v>
      </c>
      <c r="I29">
        <v>0.33333333333325799</v>
      </c>
      <c r="J29">
        <v>0.41666666666674201</v>
      </c>
      <c r="K29">
        <v>503</v>
      </c>
      <c r="L29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0.36634340465147713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0.36323924731187401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0.36955782312929802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0.33333333333325799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0.41666666666674201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502.3</v>
      </c>
      <c r="W29">
        <f>IF((DiscreteStatsTable[[#This Row],[RepsRequested]]&gt;1),DiscreteStatsTable[[#This Row],[HalfWidth]],DiscreteStatsTable[[#This Row],[BatchMeansHalfWidth]])</f>
        <v>1.4137054176207608E-3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3.8283595828552399</v>
      </c>
      <c r="H30">
        <v>0.111452258196666</v>
      </c>
      <c r="I30">
        <v>2.0982316067581901</v>
      </c>
      <c r="J30">
        <v>6.7731263660148198</v>
      </c>
      <c r="K30">
        <v>503</v>
      </c>
      <c r="L30" t="str">
        <f>DiscreteStatsTable[[#This Row],[ProjectName]]&amp;DiscreteStatsTable[[#This Row],[Name]]&amp;DiscreteStatsTable[[#This Row],[Type]]&amp;DiscreteStatsTable[[#This Row],[Source]]</f>
        <v>Unnamed ProjectPECASVA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3.7835191397552501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3.6568137276396699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3.8283595828552399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2.0138056379726099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6.7731263660148198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502.3</v>
      </c>
      <c r="W30">
        <f>IF((DiscreteStatsTable[[#This Row],[RepsRequested]]&gt;1),DiscreteStatsTable[[#This Row],[HalfWidth]],DiscreteStatsTable[[#This Row],[BatchMeansHalfWidth]])</f>
        <v>3.9550019462348089E-2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5.5570327916455797</v>
      </c>
      <c r="H31">
        <v>3E+20</v>
      </c>
      <c r="I31">
        <v>0.647429274373302</v>
      </c>
      <c r="J31">
        <v>42.021257526604401</v>
      </c>
      <c r="K31">
        <v>503</v>
      </c>
      <c r="L31" t="str">
        <f>DiscreteStatsTable[[#This Row],[ProjectName]]&amp;DiscreteStatsTable[[#This Row],[Name]]&amp;DiscreteStatsTable[[#This Row],[Type]]&amp;DiscreteStatsTable[[#This Row],[Source]]</f>
        <v>Unnamed ProjectPECASWait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5.6993508488821156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0.93520110973100146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4.5808523877670204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7.5699894136208599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0.5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42.648027327890098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502.3</v>
      </c>
      <c r="W31">
        <f>IF((DiscreteStatsTable[[#This Row],[RepsRequested]]&gt;1),DiscreteStatsTable[[#This Row],[HalfWidth]],DiscreteStatsTable[[#This Row],[BatchMeansHalfWidth]])</f>
        <v>0.66900257231750115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0</v>
      </c>
      <c r="I32">
        <v>0</v>
      </c>
      <c r="J32">
        <v>0</v>
      </c>
      <c r="K32">
        <v>496</v>
      </c>
      <c r="L32" t="str">
        <f>DiscreteStatsTable[[#This Row],[ProjectName]]&amp;DiscreteStatsTable[[#This Row],[Name]]&amp;DiscreteStatsTable[[#This Row],[Type]]&amp;DiscreteStatsTable[[#This Row],[Source]]</f>
        <v>Unnamed ProjectPECASNVA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502.3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0.39314516129038501</v>
      </c>
      <c r="H33">
        <v>6.6812703169940799E-3</v>
      </c>
      <c r="I33">
        <v>0.33333333333325799</v>
      </c>
      <c r="J33">
        <v>0.50000000000022704</v>
      </c>
      <c r="K33">
        <v>496</v>
      </c>
      <c r="L33" t="str">
        <f>DiscreteStatsTable[[#This Row],[ProjectName]]&amp;DiscreteStatsTable[[#This Row],[Name]]&amp;DiscreteStatsTable[[#This Row],[Type]]&amp;DiscreteStatsTable[[#This Row],[Source]]</f>
        <v>Unnamed ProjectPECASOther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0.39935347596959753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0.39314516129038501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0.40578231292524197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0.33333333333325799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0.50000000000022704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502.3</v>
      </c>
      <c r="W33">
        <f>IF((DiscreteStatsTable[[#This Row],[RepsRequested]]&gt;1),DiscreteStatsTable[[#This Row],[HalfWidth]],DiscreteStatsTable[[#This Row],[BatchMeansHalfWidth]])</f>
        <v>2.827410835243311E-3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11.9831875498628</v>
      </c>
      <c r="H34">
        <v>3E+20</v>
      </c>
      <c r="I34">
        <v>3.6065357947667001</v>
      </c>
      <c r="J34">
        <v>45.987386672727197</v>
      </c>
      <c r="K34">
        <v>496</v>
      </c>
      <c r="L34" t="str">
        <f>DiscreteStatsTable[[#This Row],[ProjectName]]&amp;DiscreteStatsTable[[#This Row],[Name]]&amp;DiscreteStatsTable[[#This Row],[Type]]&amp;DiscreteStatsTable[[#This Row],[Source]]</f>
        <v>Unnamed ProjectPECASTotal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10.248566869258447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0.88530215817338287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9.1721960352190095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11.9831875498628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3.4276236864520802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48.198252011387503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502.3</v>
      </c>
      <c r="W34">
        <f>IF((DiscreteStatsTable[[#This Row],[RepsRequested]]&gt;1),DiscreteStatsTable[[#This Row],[HalfWidth]],DiscreteStatsTable[[#This Row],[BatchMeansHalfWidth]])</f>
        <v>0.63330701272006318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0.36323924731187401</v>
      </c>
      <c r="H35">
        <v>3.3406351584931901E-3</v>
      </c>
      <c r="I35">
        <v>0.33333333333325799</v>
      </c>
      <c r="J35">
        <v>0.41666666666674201</v>
      </c>
      <c r="K35">
        <v>496</v>
      </c>
      <c r="L35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0.36634340465147713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0.36323924731187401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0.36955782312929802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0.33333333333325799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0.41666666666674201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502.3</v>
      </c>
      <c r="W35">
        <f>IF((DiscreteStatsTable[[#This Row],[RepsRequested]]&gt;1),DiscreteStatsTable[[#This Row],[HalfWidth]],DiscreteStatsTable[[#This Row],[BatchMeansHalfWidth]])</f>
        <v>1.4137054176207608E-3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3.6568137276396699</v>
      </c>
      <c r="H36">
        <v>8.7301044055784094E-2</v>
      </c>
      <c r="I36">
        <v>2.0722476948114901</v>
      </c>
      <c r="J36">
        <v>6.19259227346652</v>
      </c>
      <c r="K36">
        <v>496</v>
      </c>
      <c r="L36" t="str">
        <f>DiscreteStatsTable[[#This Row],[ProjectName]]&amp;DiscreteStatsTable[[#This Row],[Name]]&amp;DiscreteStatsTable[[#This Row],[Type]]&amp;DiscreteStatsTable[[#This Row],[Source]]</f>
        <v>Unnamed ProjectPECASVA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3.7835191397552501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3.6568137276396699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3.8283595828552399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2.0138056379726099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6.7731263660148198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502.3</v>
      </c>
      <c r="W36">
        <f>IF((DiscreteStatsTable[[#This Row],[RepsRequested]]&gt;1),DiscreteStatsTable[[#This Row],[HalfWidth]],DiscreteStatsTable[[#This Row],[BatchMeansHalfWidth]])</f>
        <v>3.9550019462348089E-2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7.5699894136208599</v>
      </c>
      <c r="H37">
        <v>3E+20</v>
      </c>
      <c r="I37">
        <v>0.5</v>
      </c>
      <c r="J37">
        <v>42.648027327890098</v>
      </c>
      <c r="K37">
        <v>496</v>
      </c>
      <c r="L37" t="str">
        <f>DiscreteStatsTable[[#This Row],[ProjectName]]&amp;DiscreteStatsTable[[#This Row],[Name]]&amp;DiscreteStatsTable[[#This Row],[Type]]&amp;DiscreteStatsTable[[#This Row],[Source]]</f>
        <v>Unnamed ProjectPECASWait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5.6993508488821156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0.93520110973100146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4.5808523877670204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7.5699894136208599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0.5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42.648027327890098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502.3</v>
      </c>
      <c r="W37">
        <f>IF((DiscreteStatsTable[[#This Row],[RepsRequested]]&gt;1),DiscreteStatsTable[[#This Row],[HalfWidth]],DiscreteStatsTable[[#This Row],[BatchMeansHalfWidth]])</f>
        <v>0.66900257231750115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0</v>
      </c>
      <c r="I38">
        <v>0</v>
      </c>
      <c r="J38">
        <v>0</v>
      </c>
      <c r="K38">
        <v>470</v>
      </c>
      <c r="L38" t="str">
        <f>DiscreteStatsTable[[#This Row],[ProjectName]]&amp;DiscreteStatsTable[[#This Row],[Name]]&amp;DiscreteStatsTable[[#This Row],[Type]]&amp;DiscreteStatsTable[[#This Row],[Source]]</f>
        <v>Unnamed ProjectPECASNVA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502.3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0.396099290780207</v>
      </c>
      <c r="H39">
        <v>7.55591304245042E-3</v>
      </c>
      <c r="I39">
        <v>0.33333333333325799</v>
      </c>
      <c r="J39">
        <v>0.50000000000022704</v>
      </c>
      <c r="K39">
        <v>470</v>
      </c>
      <c r="L39" t="str">
        <f>DiscreteStatsTable[[#This Row],[ProjectName]]&amp;DiscreteStatsTable[[#This Row],[Name]]&amp;DiscreteStatsTable[[#This Row],[Type]]&amp;DiscreteStatsTable[[#This Row],[Source]]</f>
        <v>Unnamed ProjectPECASOther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0.39935347596959753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0.39314516129038501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0.40578231292524197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0.33333333333325799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0.50000000000022704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502.3</v>
      </c>
      <c r="W39">
        <f>IF((DiscreteStatsTable[[#This Row],[RepsRequested]]&gt;1),DiscreteStatsTable[[#This Row],[HalfWidth]],DiscreteStatsTable[[#This Row],[BatchMeansHalfWidth]])</f>
        <v>2.827410835243311E-3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9.4273998542096606</v>
      </c>
      <c r="H40">
        <v>1.35989697276175</v>
      </c>
      <c r="I40">
        <v>3.4545407989313599</v>
      </c>
      <c r="J40">
        <v>29.169844826270602</v>
      </c>
      <c r="K40">
        <v>470</v>
      </c>
      <c r="L40" t="str">
        <f>DiscreteStatsTable[[#This Row],[ProjectName]]&amp;DiscreteStatsTable[[#This Row],[Name]]&amp;DiscreteStatsTable[[#This Row],[Type]]&amp;DiscreteStatsTable[[#This Row],[Source]]</f>
        <v>Unnamed ProjectPECASTotal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10.248566869258447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0.88530215817338287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9.1721960352190095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11.9831875498628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3.4276236864520802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48.198252011387503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502.3</v>
      </c>
      <c r="W40">
        <f>IF((DiscreteStatsTable[[#This Row],[RepsRequested]]&gt;1),DiscreteStatsTable[[#This Row],[HalfWidth]],DiscreteStatsTable[[#This Row],[BatchMeansHalfWidth]])</f>
        <v>0.63330701272006318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0.36471631205678301</v>
      </c>
      <c r="H41">
        <v>3.7779565212237901E-3</v>
      </c>
      <c r="I41">
        <v>0.33333333333325799</v>
      </c>
      <c r="J41">
        <v>0.41666666666674201</v>
      </c>
      <c r="K41">
        <v>470</v>
      </c>
      <c r="L41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0.36634340465147713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0.36323924731187401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0.36955782312929802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0.33333333333325799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0.41666666666674201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502.3</v>
      </c>
      <c r="W41">
        <f>IF((DiscreteStatsTable[[#This Row],[RepsRequested]]&gt;1),DiscreteStatsTable[[#This Row],[HalfWidth]],DiscreteStatsTable[[#This Row],[BatchMeansHalfWidth]])</f>
        <v>1.4137054176207608E-3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3.8009498332162899</v>
      </c>
      <c r="H42">
        <v>0.11523495484619101</v>
      </c>
      <c r="I42">
        <v>2.0741817406405998</v>
      </c>
      <c r="J42">
        <v>6.4978405925685401</v>
      </c>
      <c r="K42">
        <v>470</v>
      </c>
      <c r="L42" t="str">
        <f>DiscreteStatsTable[[#This Row],[ProjectName]]&amp;DiscreteStatsTable[[#This Row],[Name]]&amp;DiscreteStatsTable[[#This Row],[Type]]&amp;DiscreteStatsTable[[#This Row],[Source]]</f>
        <v>Unnamed ProjectPECASVA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3.7835191397552501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3.6568137276396699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3.8283595828552399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2.0138056379726099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6.7731263660148198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502.3</v>
      </c>
      <c r="W42">
        <f>IF((DiscreteStatsTable[[#This Row],[RepsRequested]]&gt;1),DiscreteStatsTable[[#This Row],[HalfWidth]],DiscreteStatsTable[[#This Row],[BatchMeansHalfWidth]])</f>
        <v>3.9550019462348089E-2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4.8656344181563904</v>
      </c>
      <c r="H43">
        <v>1.3677917531756001</v>
      </c>
      <c r="I43">
        <v>0.66666666666662899</v>
      </c>
      <c r="J43">
        <v>22.8605935677971</v>
      </c>
      <c r="K43">
        <v>470</v>
      </c>
      <c r="L43" t="str">
        <f>DiscreteStatsTable[[#This Row],[ProjectName]]&amp;DiscreteStatsTable[[#This Row],[Name]]&amp;DiscreteStatsTable[[#This Row],[Type]]&amp;DiscreteStatsTable[[#This Row],[Source]]</f>
        <v>Unnamed ProjectPECASWait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5.6993508488821156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0.93520110973100146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4.5808523877670204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7.5699894136208599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0.5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42.648027327890098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502.3</v>
      </c>
      <c r="W43">
        <f>IF((DiscreteStatsTable[[#This Row],[RepsRequested]]&gt;1),DiscreteStatsTable[[#This Row],[HalfWidth]],DiscreteStatsTable[[#This Row],[BatchMeansHalfWidth]])</f>
        <v>0.66900257231750115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0</v>
      </c>
      <c r="I44">
        <v>0</v>
      </c>
      <c r="J44">
        <v>0</v>
      </c>
      <c r="K44">
        <v>499</v>
      </c>
      <c r="L44" t="str">
        <f>DiscreteStatsTable[[#This Row],[ProjectName]]&amp;DiscreteStatsTable[[#This Row],[Name]]&amp;DiscreteStatsTable[[#This Row],[Type]]&amp;DiscreteStatsTable[[#This Row],[Source]]</f>
        <v>Unnamed ProjectPECASNVA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502.3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0.40046760187047897</v>
      </c>
      <c r="H45">
        <v>6.8181815554004101E-3</v>
      </c>
      <c r="I45">
        <v>0.33333333333325799</v>
      </c>
      <c r="J45">
        <v>0.50000000000022704</v>
      </c>
      <c r="K45">
        <v>499</v>
      </c>
      <c r="L45" t="str">
        <f>DiscreteStatsTable[[#This Row],[ProjectName]]&amp;DiscreteStatsTable[[#This Row],[Name]]&amp;DiscreteStatsTable[[#This Row],[Type]]&amp;DiscreteStatsTable[[#This Row],[Source]]</f>
        <v>Unnamed ProjectPECASOther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0.39935347596959753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0.39314516129038501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0.40578231292524197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0.33333333333325799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0.50000000000022704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502.3</v>
      </c>
      <c r="W45">
        <f>IF((DiscreteStatsTable[[#This Row],[RepsRequested]]&gt;1),DiscreteStatsTable[[#This Row],[HalfWidth]],DiscreteStatsTable[[#This Row],[BatchMeansHalfWidth]])</f>
        <v>2.827410835243311E-3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9.1721960352190095</v>
      </c>
      <c r="H46">
        <v>0.733144546792037</v>
      </c>
      <c r="I46">
        <v>3.4962884704525501</v>
      </c>
      <c r="J46">
        <v>23.706129470167198</v>
      </c>
      <c r="K46">
        <v>499</v>
      </c>
      <c r="L46" t="str">
        <f>DiscreteStatsTable[[#This Row],[ProjectName]]&amp;DiscreteStatsTable[[#This Row],[Name]]&amp;DiscreteStatsTable[[#This Row],[Type]]&amp;DiscreteStatsTable[[#This Row],[Source]]</f>
        <v>Unnamed ProjectPECASTotal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10.248566869258447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0.88530215817338287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9.1721960352190095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11.9831875498628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3.4276236864520802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48.198252011387503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502.3</v>
      </c>
      <c r="W46">
        <f>IF((DiscreteStatsTable[[#This Row],[RepsRequested]]&gt;1),DiscreteStatsTable[[#This Row],[HalfWidth]],DiscreteStatsTable[[#This Row],[BatchMeansHalfWidth]])</f>
        <v>0.63330701272006318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0.36690046760191902</v>
      </c>
      <c r="H47">
        <v>3.40909077769654E-3</v>
      </c>
      <c r="I47">
        <v>0.33333333333325799</v>
      </c>
      <c r="J47">
        <v>0.41666666666674201</v>
      </c>
      <c r="K47">
        <v>499</v>
      </c>
      <c r="L47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0.36634340465147713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0.36323924731187401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0.36955782312929802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0.33333333333325799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0.41666666666674201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502.3</v>
      </c>
      <c r="W47">
        <f>IF((DiscreteStatsTable[[#This Row],[RepsRequested]]&gt;1),DiscreteStatsTable[[#This Row],[HalfWidth]],DiscreteStatsTable[[#This Row],[BatchMeansHalfWidth]])</f>
        <v>1.4137054176207608E-3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3.8239755779795801</v>
      </c>
      <c r="H48">
        <v>9.6293212353735294E-2</v>
      </c>
      <c r="I48">
        <v>2.0235905227340298</v>
      </c>
      <c r="J48">
        <v>6.1876227389679999</v>
      </c>
      <c r="K48">
        <v>499</v>
      </c>
      <c r="L48" t="str">
        <f>DiscreteStatsTable[[#This Row],[ProjectName]]&amp;DiscreteStatsTable[[#This Row],[Name]]&amp;DiscreteStatsTable[[#This Row],[Type]]&amp;DiscreteStatsTable[[#This Row],[Source]]</f>
        <v>Unnamed ProjectPECASVA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3.7835191397552501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3.6568137276396699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3.8283595828552399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2.0138056379726099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6.7731263660148198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502.3</v>
      </c>
      <c r="W48">
        <f>IF((DiscreteStatsTable[[#This Row],[RepsRequested]]&gt;1),DiscreteStatsTable[[#This Row],[HalfWidth]],DiscreteStatsTable[[#This Row],[BatchMeansHalfWidth]])</f>
        <v>3.9550019462348089E-2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4.5808523877670204</v>
      </c>
      <c r="H49">
        <v>0.70396342239309395</v>
      </c>
      <c r="I49">
        <v>0.5</v>
      </c>
      <c r="J49">
        <v>17.053036343555998</v>
      </c>
      <c r="K49">
        <v>499</v>
      </c>
      <c r="L49" t="str">
        <f>DiscreteStatsTable[[#This Row],[ProjectName]]&amp;DiscreteStatsTable[[#This Row],[Name]]&amp;DiscreteStatsTable[[#This Row],[Type]]&amp;DiscreteStatsTable[[#This Row],[Source]]</f>
        <v>Unnamed ProjectPECASWait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5.6993508488821156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0.93520110973100146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4.5808523877670204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7.5699894136208599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0.5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42.648027327890098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502.3</v>
      </c>
      <c r="W49">
        <f>IF((DiscreteStatsTable[[#This Row],[RepsRequested]]&gt;1),DiscreteStatsTable[[#This Row],[HalfWidth]],DiscreteStatsTable[[#This Row],[BatchMeansHalfWidth]])</f>
        <v>0.66900257231750115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0</v>
      </c>
      <c r="I50">
        <v>0</v>
      </c>
      <c r="J50">
        <v>0</v>
      </c>
      <c r="K50">
        <v>521</v>
      </c>
      <c r="L50" t="str">
        <f>DiscreteStatsTable[[#This Row],[ProjectName]]&amp;DiscreteStatsTable[[#This Row],[Name]]&amp;DiscreteStatsTable[[#This Row],[Type]]&amp;DiscreteStatsTable[[#This Row],[Source]]</f>
        <v>Unnamed ProjectPECASNVA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502.3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0.39827255278317503</v>
      </c>
      <c r="H51">
        <v>3E+20</v>
      </c>
      <c r="I51">
        <v>0.33333333333325799</v>
      </c>
      <c r="J51">
        <v>0.50000000000022704</v>
      </c>
      <c r="K51">
        <v>521</v>
      </c>
      <c r="L51" t="str">
        <f>DiscreteStatsTable[[#This Row],[ProjectName]]&amp;DiscreteStatsTable[[#This Row],[Name]]&amp;DiscreteStatsTable[[#This Row],[Type]]&amp;DiscreteStatsTable[[#This Row],[Source]]</f>
        <v>Unnamed ProjectPECASOther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0.39935347596959753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0.39314516129038501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0.40578231292524197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0.33333333333325799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0.50000000000022704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502.3</v>
      </c>
      <c r="W51">
        <f>IF((DiscreteStatsTable[[#This Row],[RepsRequested]]&gt;1),DiscreteStatsTable[[#This Row],[HalfWidth]],DiscreteStatsTable[[#This Row],[BatchMeansHalfWidth]])</f>
        <v>2.827410835243311E-3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11.3088414078835</v>
      </c>
      <c r="H52">
        <v>3E+20</v>
      </c>
      <c r="I52">
        <v>3.5624673147258399</v>
      </c>
      <c r="J52">
        <v>33.649378900373499</v>
      </c>
      <c r="K52">
        <v>521</v>
      </c>
      <c r="L52" t="str">
        <f>DiscreteStatsTable[[#This Row],[ProjectName]]&amp;DiscreteStatsTable[[#This Row],[Name]]&amp;DiscreteStatsTable[[#This Row],[Type]]&amp;DiscreteStatsTable[[#This Row],[Source]]</f>
        <v>Unnamed ProjectPECASTotal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10.248566869258447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0.88530215817338287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9.1721960352190095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11.9831875498628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3.4276236864520802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48.198252011387503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502.3</v>
      </c>
      <c r="W52">
        <f>IF((DiscreteStatsTable[[#This Row],[RepsRequested]]&gt;1),DiscreteStatsTable[[#This Row],[HalfWidth]],DiscreteStatsTable[[#This Row],[BatchMeansHalfWidth]])</f>
        <v>0.63330701272006318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0.365802943058264</v>
      </c>
      <c r="H53">
        <v>3E+20</v>
      </c>
      <c r="I53">
        <v>0.33333333333325799</v>
      </c>
      <c r="J53">
        <v>0.41666666666674201</v>
      </c>
      <c r="K53">
        <v>521</v>
      </c>
      <c r="L53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0.36634340465147713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0.36323924731187401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0.36955782312929802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0.33333333333325799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0.41666666666674201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502.3</v>
      </c>
      <c r="W53">
        <f>IF((DiscreteStatsTable[[#This Row],[RepsRequested]]&gt;1),DiscreteStatsTable[[#This Row],[HalfWidth]],DiscreteStatsTable[[#This Row],[BatchMeansHalfWidth]])</f>
        <v>1.4137054176207608E-3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3.77516603595183</v>
      </c>
      <c r="H54">
        <v>9.8191504518675504E-2</v>
      </c>
      <c r="I54">
        <v>2.06246731472595</v>
      </c>
      <c r="J54">
        <v>6.75565717121503</v>
      </c>
      <c r="K54">
        <v>521</v>
      </c>
      <c r="L54" t="str">
        <f>DiscreteStatsTable[[#This Row],[ProjectName]]&amp;DiscreteStatsTable[[#This Row],[Name]]&amp;DiscreteStatsTable[[#This Row],[Type]]&amp;DiscreteStatsTable[[#This Row],[Source]]</f>
        <v>Unnamed ProjectPECASVA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3.7835191397552501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3.6568137276396699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3.8283595828552399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2.0138056379726099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6.7731263660148198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502.3</v>
      </c>
      <c r="W54">
        <f>IF((DiscreteStatsTable[[#This Row],[RepsRequested]]&gt;1),DiscreteStatsTable[[#This Row],[HalfWidth]],DiscreteStatsTable[[#This Row],[BatchMeansHalfWidth]])</f>
        <v>3.9550019462348089E-2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6.7695998760902096</v>
      </c>
      <c r="H55">
        <v>3E+20</v>
      </c>
      <c r="I55">
        <v>0.5</v>
      </c>
      <c r="J55">
        <v>27.7469643258035</v>
      </c>
      <c r="K55">
        <v>521</v>
      </c>
      <c r="L55" t="str">
        <f>DiscreteStatsTable[[#This Row],[ProjectName]]&amp;DiscreteStatsTable[[#This Row],[Name]]&amp;DiscreteStatsTable[[#This Row],[Type]]&amp;DiscreteStatsTable[[#This Row],[Source]]</f>
        <v>Unnamed ProjectPECASWait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5.6993508488821156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0.93520110973100146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4.5808523877670204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7.5699894136208599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0.5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42.648027327890098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502.3</v>
      </c>
      <c r="W55">
        <f>IF((DiscreteStatsTable[[#This Row],[RepsRequested]]&gt;1),DiscreteStatsTable[[#This Row],[HalfWidth]],DiscreteStatsTable[[#This Row],[BatchMeansHalfWidth]])</f>
        <v>0.66900257231750115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0</v>
      </c>
      <c r="I56">
        <v>0</v>
      </c>
      <c r="J56">
        <v>0</v>
      </c>
      <c r="K56">
        <v>490</v>
      </c>
      <c r="L56" t="str">
        <f>DiscreteStatsTable[[#This Row],[ProjectName]]&amp;DiscreteStatsTable[[#This Row],[Name]]&amp;DiscreteStatsTable[[#This Row],[Type]]&amp;DiscreteStatsTable[[#This Row],[Source]]</f>
        <v>Unnamed ProjectPECASNVA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502.3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0.40578231292524197</v>
      </c>
      <c r="H57">
        <v>6.4596270796594499E-3</v>
      </c>
      <c r="I57">
        <v>0.33333333333325799</v>
      </c>
      <c r="J57">
        <v>0.50000000000022704</v>
      </c>
      <c r="K57">
        <v>490</v>
      </c>
      <c r="L57" t="str">
        <f>DiscreteStatsTable[[#This Row],[ProjectName]]&amp;DiscreteStatsTable[[#This Row],[Name]]&amp;DiscreteStatsTable[[#This Row],[Type]]&amp;DiscreteStatsTable[[#This Row],[Source]]</f>
        <v>Unnamed ProjectPECASOther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0.39935347596959753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3.9524478084220207E-3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2.827410835243311E-3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0.39314516129038501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0.40578231292524197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0.33333333333325799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0.50000000000022704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502.3</v>
      </c>
      <c r="W57">
        <f>IF((DiscreteStatsTable[[#This Row],[RepsRequested]]&gt;1),DiscreteStatsTable[[#This Row],[HalfWidth]],DiscreteStatsTable[[#This Row],[BatchMeansHalfWidth]])</f>
        <v>2.827410835243311E-3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9.7479063277033493</v>
      </c>
      <c r="H58">
        <v>1.1165049307159001</v>
      </c>
      <c r="I58">
        <v>3.4578156541629101</v>
      </c>
      <c r="J58">
        <v>28.7879800368021</v>
      </c>
      <c r="K58">
        <v>490</v>
      </c>
      <c r="L58" t="str">
        <f>DiscreteStatsTable[[#This Row],[ProjectName]]&amp;DiscreteStatsTable[[#This Row],[Name]]&amp;DiscreteStatsTable[[#This Row],[Type]]&amp;DiscreteStatsTable[[#This Row],[Source]]</f>
        <v>Unnamed ProjectPECASTotal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10.248566869258447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0.88530215817338287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0.63330701272006318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9.1721960352190095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11.9831875498628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3.4276236864520802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48.198252011387503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502.3</v>
      </c>
      <c r="W58">
        <f>IF((DiscreteStatsTable[[#This Row],[RepsRequested]]&gt;1),DiscreteStatsTable[[#This Row],[HalfWidth]],DiscreteStatsTable[[#This Row],[BatchMeansHalfWidth]])</f>
        <v>0.63330701272006318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0.36955782312929802</v>
      </c>
      <c r="H59">
        <v>3.2298135398279898E-3</v>
      </c>
      <c r="I59">
        <v>0.33333333333325799</v>
      </c>
      <c r="J59">
        <v>0.41666666666674201</v>
      </c>
      <c r="K59">
        <v>490</v>
      </c>
      <c r="L59" t="str">
        <f>DiscreteStatsTable[[#This Row],[ProjectName]]&amp;DiscreteStatsTable[[#This Row],[Name]]&amp;DiscreteStatsTable[[#This Row],[Type]]&amp;DiscreteStatsTable[[#This Row],[Source]]</f>
        <v>Unnamed ProjectPECASTransfer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0.36634340465147713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1.9762239042097596E-3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1.4137054176207608E-3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0.36323924731187401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0.36955782312929802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0.33333333333325799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0.41666666666674201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502.3</v>
      </c>
      <c r="W59">
        <f>IF((DiscreteStatsTable[[#This Row],[RepsRequested]]&gt;1),DiscreteStatsTable[[#This Row],[HalfWidth]],DiscreteStatsTable[[#This Row],[BatchMeansHalfWidth]])</f>
        <v>1.4137054176207608E-3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3.8227431309194402</v>
      </c>
      <c r="H60">
        <v>7.9633611922907396E-2</v>
      </c>
      <c r="I60">
        <v>2.08898206722938</v>
      </c>
      <c r="J60">
        <v>6.5587188589299803</v>
      </c>
      <c r="K60">
        <v>490</v>
      </c>
      <c r="L60" t="str">
        <f>DiscreteStatsTable[[#This Row],[ProjectName]]&amp;DiscreteStatsTable[[#This Row],[Name]]&amp;DiscreteStatsTable[[#This Row],[Type]]&amp;DiscreteStatsTable[[#This Row],[Source]]</f>
        <v>Unnamed ProjectPECASVA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3.7835191397552501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5.5287114910399643E-2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3.9550019462348089E-2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3.6568137276396699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3.8283595828552399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2.0138056379726099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6.7731263660148198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502.3</v>
      </c>
      <c r="W60">
        <f>IF((DiscreteStatsTable[[#This Row],[RepsRequested]]&gt;1),DiscreteStatsTable[[#This Row],[HalfWidth]],DiscreteStatsTable[[#This Row],[BatchMeansHalfWidth]])</f>
        <v>3.9550019462348089E-2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5.1498230607293696</v>
      </c>
      <c r="H61">
        <v>1.14059605540903</v>
      </c>
      <c r="I61">
        <v>0.66666666666662899</v>
      </c>
      <c r="J61">
        <v>23.7330961128262</v>
      </c>
      <c r="K61">
        <v>490</v>
      </c>
      <c r="L61" t="str">
        <f>DiscreteStatsTable[[#This Row],[ProjectName]]&amp;DiscreteStatsTable[[#This Row],[Name]]&amp;DiscreteStatsTable[[#This Row],[Type]]&amp;DiscreteStatsTable[[#This Row],[Source]]</f>
        <v>Unnamed ProjectPECASWait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5.6993508488821156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0.93520110973100146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0.66900257231750115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4.5808523877670204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7.5699894136208599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0.5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42.648027327890098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502.3</v>
      </c>
      <c r="W61">
        <f>IF((DiscreteStatsTable[[#This Row],[RepsRequested]]&gt;1),DiscreteStatsTable[[#This Row],[HalfWidth]],DiscreteStatsTable[[#This Row],[BatchMeansHalfWidth]])</f>
        <v>0.66900257231750115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</v>
      </c>
      <c r="D62" t="s">
        <v>77</v>
      </c>
      <c r="E62" t="s">
        <v>78</v>
      </c>
      <c r="F62" t="s">
        <v>79</v>
      </c>
      <c r="G62">
        <v>4.8996420217517596</v>
      </c>
      <c r="H62">
        <v>1.3683756558345099</v>
      </c>
      <c r="I62">
        <v>0</v>
      </c>
      <c r="J62">
        <v>22.316839493179501</v>
      </c>
      <c r="K62">
        <v>503</v>
      </c>
      <c r="L62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4.7152342091170798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0.93562049921288415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3.58508477537548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6.5885732939325399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41.981360661223398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503.6</v>
      </c>
      <c r="W62">
        <f>IF((DiscreteStatsTable[[#This Row],[RepsRequested]]&gt;1),DiscreteStatsTable[[#This Row],[HalfWidth]],DiscreteStatsTable[[#This Row],[BatchMeansHalfWidth]])</f>
        <v>0.66930258547965749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2</v>
      </c>
      <c r="D63" t="s">
        <v>77</v>
      </c>
      <c r="E63" t="s">
        <v>78</v>
      </c>
      <c r="F63" t="s">
        <v>79</v>
      </c>
      <c r="G63">
        <v>3.8937307220204</v>
      </c>
      <c r="H63">
        <v>0.908206773799488</v>
      </c>
      <c r="I63">
        <v>0</v>
      </c>
      <c r="J63">
        <v>15.748570155875999</v>
      </c>
      <c r="K63">
        <v>515</v>
      </c>
      <c r="L63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4.7152342091170798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0.93562049921288415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3.58508477537548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6.5885732939325399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41.981360661223398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503.6</v>
      </c>
      <c r="W63">
        <f>IF((DiscreteStatsTable[[#This Row],[RepsRequested]]&gt;1),DiscreteStatsTable[[#This Row],[HalfWidth]],DiscreteStatsTable[[#This Row],[BatchMeansHalfWidth]])</f>
        <v>0.66930258547965749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3</v>
      </c>
      <c r="D64" t="s">
        <v>77</v>
      </c>
      <c r="E64" t="s">
        <v>78</v>
      </c>
      <c r="F64" t="s">
        <v>79</v>
      </c>
      <c r="G64">
        <v>4.5914409064121102</v>
      </c>
      <c r="H64">
        <v>1.02670953634291</v>
      </c>
      <c r="I64">
        <v>0</v>
      </c>
      <c r="J64">
        <v>21.823746379897202</v>
      </c>
      <c r="K64">
        <v>517</v>
      </c>
      <c r="L64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4.7152342091170798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0.93562049921288415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3.58508477537548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6.5885732939325399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41.981360661223398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503.6</v>
      </c>
      <c r="W64">
        <f>IF((DiscreteStatsTable[[#This Row],[RepsRequested]]&gt;1),DiscreteStatsTable[[#This Row],[HalfWidth]],DiscreteStatsTable[[#This Row],[BatchMeansHalfWidth]])</f>
        <v>0.66930258547965749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4</v>
      </c>
      <c r="D65" t="s">
        <v>77</v>
      </c>
      <c r="E65" t="s">
        <v>78</v>
      </c>
      <c r="F65" t="s">
        <v>79</v>
      </c>
      <c r="G65">
        <v>5.1743160984716399</v>
      </c>
      <c r="H65">
        <v>3E+20</v>
      </c>
      <c r="I65">
        <v>0</v>
      </c>
      <c r="J65">
        <v>26.891798298774599</v>
      </c>
      <c r="K65">
        <v>515</v>
      </c>
      <c r="L65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4.7152342091170798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0.93562049921288415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3.58508477537548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6.5885732939325399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41.981360661223398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503.6</v>
      </c>
      <c r="W65">
        <f>IF((DiscreteStatsTable[[#This Row],[RepsRequested]]&gt;1),DiscreteStatsTable[[#This Row],[HalfWidth]],DiscreteStatsTable[[#This Row],[BatchMeansHalfWidth]])</f>
        <v>0.66930258547965749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5</v>
      </c>
      <c r="D66" t="s">
        <v>77</v>
      </c>
      <c r="E66" t="s">
        <v>78</v>
      </c>
      <c r="F66" t="s">
        <v>79</v>
      </c>
      <c r="G66">
        <v>4.57316424559259</v>
      </c>
      <c r="H66">
        <v>3E+20</v>
      </c>
      <c r="I66">
        <v>0</v>
      </c>
      <c r="J66">
        <v>40.411235958361701</v>
      </c>
      <c r="K66">
        <v>503</v>
      </c>
      <c r="L66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4.7152342091170798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0.93562049921288415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3.58508477537548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6.5885732939325399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41.981360661223398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503.6</v>
      </c>
      <c r="W66">
        <f>IF((DiscreteStatsTable[[#This Row],[RepsRequested]]&gt;1),DiscreteStatsTable[[#This Row],[HalfWidth]],DiscreteStatsTable[[#This Row],[BatchMeansHalfWidth]])</f>
        <v>0.66930258547965749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6</v>
      </c>
      <c r="D67" t="s">
        <v>77</v>
      </c>
      <c r="E67" t="s">
        <v>78</v>
      </c>
      <c r="F67" t="s">
        <v>79</v>
      </c>
      <c r="G67">
        <v>6.5885732939325399</v>
      </c>
      <c r="H67">
        <v>3E+20</v>
      </c>
      <c r="I67">
        <v>0</v>
      </c>
      <c r="J67">
        <v>41.981360661223398</v>
      </c>
      <c r="K67">
        <v>498</v>
      </c>
      <c r="L67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4.7152342091170798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0.93562049921288415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3.58508477537548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6.5885732939325399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41.981360661223398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503.6</v>
      </c>
      <c r="W67">
        <f>IF((DiscreteStatsTable[[#This Row],[RepsRequested]]&gt;1),DiscreteStatsTable[[#This Row],[HalfWidth]],DiscreteStatsTable[[#This Row],[BatchMeansHalfWidth]])</f>
        <v>0.66930258547965749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7</v>
      </c>
      <c r="D68" t="s">
        <v>77</v>
      </c>
      <c r="E68" t="s">
        <v>78</v>
      </c>
      <c r="F68" t="s">
        <v>79</v>
      </c>
      <c r="G68">
        <v>3.8901123521304499</v>
      </c>
      <c r="H68">
        <v>1.3642235610532201</v>
      </c>
      <c r="I68">
        <v>0</v>
      </c>
      <c r="J68">
        <v>21.7772602344638</v>
      </c>
      <c r="K68">
        <v>471</v>
      </c>
      <c r="L68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4.7152342091170798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0.93562049921288415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3.58508477537548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6.5885732939325399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41.981360661223398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503.6</v>
      </c>
      <c r="W68">
        <f>IF((DiscreteStatsTable[[#This Row],[RepsRequested]]&gt;1),DiscreteStatsTable[[#This Row],[HalfWidth]],DiscreteStatsTable[[#This Row],[BatchMeansHalfWidth]])</f>
        <v>0.66930258547965749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8</v>
      </c>
      <c r="D69" t="s">
        <v>77</v>
      </c>
      <c r="E69" t="s">
        <v>78</v>
      </c>
      <c r="F69" t="s">
        <v>79</v>
      </c>
      <c r="G69">
        <v>3.58508477537548</v>
      </c>
      <c r="H69">
        <v>0.69919771912892104</v>
      </c>
      <c r="I69">
        <v>0</v>
      </c>
      <c r="J69">
        <v>16.011369676889299</v>
      </c>
      <c r="K69">
        <v>501</v>
      </c>
      <c r="L69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4.7152342091170798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0.93562049921288415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3.58508477537548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6.5885732939325399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41.981360661223398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503.6</v>
      </c>
      <c r="W69">
        <f>IF((DiscreteStatsTable[[#This Row],[RepsRequested]]&gt;1),DiscreteStatsTable[[#This Row],[HalfWidth]],DiscreteStatsTable[[#This Row],[BatchMeansHalfWidth]])</f>
        <v>0.66930258547965749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9</v>
      </c>
      <c r="D70" t="s">
        <v>77</v>
      </c>
      <c r="E70" t="s">
        <v>78</v>
      </c>
      <c r="F70" t="s">
        <v>79</v>
      </c>
      <c r="G70">
        <v>5.7898135179939096</v>
      </c>
      <c r="H70">
        <v>3E+20</v>
      </c>
      <c r="I70">
        <v>0</v>
      </c>
      <c r="J70">
        <v>26.9136309924702</v>
      </c>
      <c r="K70">
        <v>522</v>
      </c>
      <c r="L70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4.7152342091170798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0.93562049921288415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3.58508477537548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6.5885732939325399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41.981360661223398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503.6</v>
      </c>
      <c r="W70">
        <f>IF((DiscreteStatsTable[[#This Row],[RepsRequested]]&gt;1),DiscreteStatsTable[[#This Row],[HalfWidth]],DiscreteStatsTable[[#This Row],[BatchMeansHalfWidth]])</f>
        <v>0.66930258547965749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10</v>
      </c>
      <c r="D71" t="s">
        <v>77</v>
      </c>
      <c r="E71" t="s">
        <v>78</v>
      </c>
      <c r="F71" t="s">
        <v>79</v>
      </c>
      <c r="G71">
        <v>4.1664641574899202</v>
      </c>
      <c r="H71">
        <v>1.1402816360219601</v>
      </c>
      <c r="I71">
        <v>0</v>
      </c>
      <c r="J71">
        <v>23.0664294461594</v>
      </c>
      <c r="K71">
        <v>491</v>
      </c>
      <c r="L71" t="str">
        <f>DiscreteStatsTable[[#This Row],[ProjectName]]&amp;DiscreteStatsTable[[#This Row],[Name]]&amp;DiscreteStatsTable[[#This Row],[Type]]&amp;DiscreteStatsTable[[#This Row],[Source]]</f>
        <v>Unnamed ProjectProcesso Maquina A.QueueWaiting TimeQueue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4.7152342091170798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0.93562049921288415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0.66930258547965749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3.58508477537548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6.5885732939325399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41.981360661223398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503.6</v>
      </c>
      <c r="W71">
        <f>IF((DiscreteStatsTable[[#This Row],[RepsRequested]]&gt;1),DiscreteStatsTable[[#This Row],[HalfWidth]],DiscreteStatsTable[[#This Row],[BatchMeansHalfWidth]])</f>
        <v>0.66930258547965749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</v>
      </c>
      <c r="D72" t="s">
        <v>80</v>
      </c>
      <c r="E72" t="s">
        <v>78</v>
      </c>
      <c r="F72" t="s">
        <v>79</v>
      </c>
      <c r="G72">
        <v>5.6191854693242197E-3</v>
      </c>
      <c r="H72">
        <v>2E+20</v>
      </c>
      <c r="I72">
        <v>0</v>
      </c>
      <c r="J72">
        <v>0.73284416306216804</v>
      </c>
      <c r="K72">
        <v>195</v>
      </c>
      <c r="L72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2.390274277515413E-3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2.4796788319795399E-4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5.8271760774277403E-3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0.73284416306216804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199.4</v>
      </c>
      <c r="W72">
        <f>IF((DiscreteStatsTable[[#This Row],[RepsRequested]]&gt;1),DiscreteStatsTable[[#This Row],[HalfWidth]],DiscreteStatsTable[[#This Row],[BatchMeansHalfWidth]])</f>
        <v>1.4579741223020809E-3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2</v>
      </c>
      <c r="D73" t="s">
        <v>80</v>
      </c>
      <c r="E73" t="s">
        <v>78</v>
      </c>
      <c r="F73" t="s">
        <v>79</v>
      </c>
      <c r="G73">
        <v>1.9131967478028299E-3</v>
      </c>
      <c r="H73">
        <v>2E+20</v>
      </c>
      <c r="I73">
        <v>0</v>
      </c>
      <c r="J73">
        <v>0.34828233303386502</v>
      </c>
      <c r="K73">
        <v>210</v>
      </c>
      <c r="L73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2.390274277515413E-3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2.4796788319795399E-4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5.8271760774277403E-3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0.73284416306216804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199.4</v>
      </c>
      <c r="W73">
        <f>IF((DiscreteStatsTable[[#This Row],[RepsRequested]]&gt;1),DiscreteStatsTable[[#This Row],[HalfWidth]],DiscreteStatsTable[[#This Row],[BatchMeansHalfWidth]])</f>
        <v>1.4579741223020809E-3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3</v>
      </c>
      <c r="D74" t="s">
        <v>80</v>
      </c>
      <c r="E74" t="s">
        <v>78</v>
      </c>
      <c r="F74" t="s">
        <v>79</v>
      </c>
      <c r="G74">
        <v>3.4519223014701601E-3</v>
      </c>
      <c r="H74">
        <v>2E+20</v>
      </c>
      <c r="I74">
        <v>0</v>
      </c>
      <c r="J74">
        <v>0.30326897712870998</v>
      </c>
      <c r="K74">
        <v>211</v>
      </c>
      <c r="L74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2.390274277515413E-3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2.4796788319795399E-4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5.8271760774277403E-3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0.73284416306216804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199.4</v>
      </c>
      <c r="W74">
        <f>IF((DiscreteStatsTable[[#This Row],[RepsRequested]]&gt;1),DiscreteStatsTable[[#This Row],[HalfWidth]],DiscreteStatsTable[[#This Row],[BatchMeansHalfWidth]])</f>
        <v>1.4579741223020809E-3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4</v>
      </c>
      <c r="D75" t="s">
        <v>80</v>
      </c>
      <c r="E75" t="s">
        <v>78</v>
      </c>
      <c r="F75" t="s">
        <v>79</v>
      </c>
      <c r="G75">
        <v>2.6057833776871701E-3</v>
      </c>
      <c r="H75">
        <v>2E+20</v>
      </c>
      <c r="I75">
        <v>0</v>
      </c>
      <c r="J75">
        <v>0.26243459419936899</v>
      </c>
      <c r="K75">
        <v>192</v>
      </c>
      <c r="L75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2.390274277515413E-3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2.4796788319795399E-4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5.8271760774277403E-3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0.73284416306216804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199.4</v>
      </c>
      <c r="W75">
        <f>IF((DiscreteStatsTable[[#This Row],[RepsRequested]]&gt;1),DiscreteStatsTable[[#This Row],[HalfWidth]],DiscreteStatsTable[[#This Row],[BatchMeansHalfWidth]])</f>
        <v>1.4579741223020809E-3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5</v>
      </c>
      <c r="D76" t="s">
        <v>80</v>
      </c>
      <c r="E76" t="s">
        <v>78</v>
      </c>
      <c r="F76" t="s">
        <v>79</v>
      </c>
      <c r="G76">
        <v>5.8271760774277403E-3</v>
      </c>
      <c r="H76">
        <v>2E+20</v>
      </c>
      <c r="I76">
        <v>0</v>
      </c>
      <c r="J76">
        <v>0.63133355243462597</v>
      </c>
      <c r="K76">
        <v>213</v>
      </c>
      <c r="L76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2.390274277515413E-3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2.4796788319795399E-4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5.8271760774277403E-3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0.73284416306216804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199.4</v>
      </c>
      <c r="W76">
        <f>IF((DiscreteStatsTable[[#This Row],[RepsRequested]]&gt;1),DiscreteStatsTable[[#This Row],[HalfWidth]],DiscreteStatsTable[[#This Row],[BatchMeansHalfWidth]])</f>
        <v>1.4579741223020809E-3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6</v>
      </c>
      <c r="D77" t="s">
        <v>80</v>
      </c>
      <c r="E77" t="s">
        <v>78</v>
      </c>
      <c r="F77" t="s">
        <v>79</v>
      </c>
      <c r="G77">
        <v>2.4796788319795399E-4</v>
      </c>
      <c r="H77">
        <v>2E+20</v>
      </c>
      <c r="I77">
        <v>0</v>
      </c>
      <c r="J77">
        <v>3.3546891955666097E-2</v>
      </c>
      <c r="K77">
        <v>178</v>
      </c>
      <c r="L77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2.390274277515413E-3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2.4796788319795399E-4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5.8271760774277403E-3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0.73284416306216804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199.4</v>
      </c>
      <c r="W77">
        <f>IF((DiscreteStatsTable[[#This Row],[RepsRequested]]&gt;1),DiscreteStatsTable[[#This Row],[HalfWidth]],DiscreteStatsTable[[#This Row],[BatchMeansHalfWidth]])</f>
        <v>1.4579741223020809E-3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7</v>
      </c>
      <c r="D78" t="s">
        <v>80</v>
      </c>
      <c r="E78" t="s">
        <v>78</v>
      </c>
      <c r="F78" t="s">
        <v>79</v>
      </c>
      <c r="G78">
        <v>4.81462435198019E-4</v>
      </c>
      <c r="H78">
        <v>2E+20</v>
      </c>
      <c r="I78">
        <v>0</v>
      </c>
      <c r="J78">
        <v>8.5218851030049295E-2</v>
      </c>
      <c r="K78">
        <v>177</v>
      </c>
      <c r="L78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2.390274277515413E-3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2.4796788319795399E-4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5.8271760774277403E-3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0.73284416306216804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199.4</v>
      </c>
      <c r="W78">
        <f>IF((DiscreteStatsTable[[#This Row],[RepsRequested]]&gt;1),DiscreteStatsTable[[#This Row],[HalfWidth]],DiscreteStatsTable[[#This Row],[BatchMeansHalfWidth]])</f>
        <v>1.4579741223020809E-3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8</v>
      </c>
      <c r="D79" t="s">
        <v>80</v>
      </c>
      <c r="E79" t="s">
        <v>78</v>
      </c>
      <c r="F79" t="s">
        <v>79</v>
      </c>
      <c r="G79">
        <v>2.24355474609966E-3</v>
      </c>
      <c r="H79">
        <v>2E+20</v>
      </c>
      <c r="I79">
        <v>0</v>
      </c>
      <c r="J79">
        <v>0.34957490756187298</v>
      </c>
      <c r="K79">
        <v>202</v>
      </c>
      <c r="L79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2.390274277515413E-3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2.4796788319795399E-4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5.8271760774277403E-3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0.73284416306216804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199.4</v>
      </c>
      <c r="W79">
        <f>IF((DiscreteStatsTable[[#This Row],[RepsRequested]]&gt;1),DiscreteStatsTable[[#This Row],[HalfWidth]],DiscreteStatsTable[[#This Row],[BatchMeansHalfWidth]])</f>
        <v>1.4579741223020809E-3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9</v>
      </c>
      <c r="D80" t="s">
        <v>80</v>
      </c>
      <c r="E80" t="s">
        <v>78</v>
      </c>
      <c r="F80" t="s">
        <v>79</v>
      </c>
      <c r="G80">
        <v>4.8150194000304498E-4</v>
      </c>
      <c r="H80">
        <v>2E+20</v>
      </c>
      <c r="I80">
        <v>0</v>
      </c>
      <c r="J80">
        <v>6.6716262120848996E-2</v>
      </c>
      <c r="K80">
        <v>203</v>
      </c>
      <c r="L80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2.390274277515413E-3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2.4796788319795399E-4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5.8271760774277403E-3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0.73284416306216804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199.4</v>
      </c>
      <c r="W80">
        <f>IF((DiscreteStatsTable[[#This Row],[RepsRequested]]&gt;1),DiscreteStatsTable[[#This Row],[HalfWidth]],DiscreteStatsTable[[#This Row],[BatchMeansHalfWidth]])</f>
        <v>1.4579741223020809E-3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10</v>
      </c>
      <c r="D81" t="s">
        <v>80</v>
      </c>
      <c r="E81" t="s">
        <v>78</v>
      </c>
      <c r="F81" t="s">
        <v>79</v>
      </c>
      <c r="G81">
        <v>1.0309917969433301E-3</v>
      </c>
      <c r="H81">
        <v>2E+20</v>
      </c>
      <c r="I81">
        <v>0</v>
      </c>
      <c r="J81">
        <v>0.18266107991723901</v>
      </c>
      <c r="K81">
        <v>213</v>
      </c>
      <c r="L81" t="str">
        <f>DiscreteStatsTable[[#This Row],[ProjectName]]&amp;DiscreteStatsTable[[#This Row],[Name]]&amp;DiscreteStatsTable[[#This Row],[Type]]&amp;DiscreteStatsTable[[#This Row],[Source]]</f>
        <v>Unnamed ProjectProcesso Reparo.QueueWaiting TimeQueue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2.390274277515413E-3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2.0381072862136729E-3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1.4579741223020809E-3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2.4796788319795399E-4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5.8271760774277403E-3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0.73284416306216804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199.4</v>
      </c>
      <c r="W81">
        <f>IF((DiscreteStatsTable[[#This Row],[RepsRequested]]&gt;1),DiscreteStatsTable[[#This Row],[HalfWidth]],DiscreteStatsTable[[#This Row],[BatchMeansHalfWidth]])</f>
        <v>1.4579741223020809E-3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</v>
      </c>
      <c r="D82" t="s">
        <v>81</v>
      </c>
      <c r="E82" t="s">
        <v>78</v>
      </c>
      <c r="F82" t="s">
        <v>79</v>
      </c>
      <c r="G82">
        <v>1.8481350342897902E-2</v>
      </c>
      <c r="H82">
        <v>9.0360507044192004E-3</v>
      </c>
      <c r="I82">
        <v>0</v>
      </c>
      <c r="J82">
        <v>1.1147114006012699</v>
      </c>
      <c r="K82">
        <v>505</v>
      </c>
      <c r="L82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1.9072361973256319E-2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1.28996514024759E-2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2.62065064416774E-2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1.1147114006012699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504.6</v>
      </c>
      <c r="W82">
        <f>IF((DiscreteStatsTable[[#This Row],[RepsRequested]]&gt;1),DiscreteStatsTable[[#This Row],[HalfWidth]],DiscreteStatsTable[[#This Row],[BatchMeansHalfWidth]])</f>
        <v>2.655372674435396E-3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2</v>
      </c>
      <c r="D83" t="s">
        <v>81</v>
      </c>
      <c r="E83" t="s">
        <v>78</v>
      </c>
      <c r="F83" t="s">
        <v>79</v>
      </c>
      <c r="G83">
        <v>1.91944577485904E-2</v>
      </c>
      <c r="H83">
        <v>7.7020873936774498E-3</v>
      </c>
      <c r="I83">
        <v>0</v>
      </c>
      <c r="J83">
        <v>0.574821249685328</v>
      </c>
      <c r="K83">
        <v>520</v>
      </c>
      <c r="L83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1.9072361973256319E-2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1.28996514024759E-2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2.62065064416774E-2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1.1147114006012699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504.6</v>
      </c>
      <c r="W83">
        <f>IF((DiscreteStatsTable[[#This Row],[RepsRequested]]&gt;1),DiscreteStatsTable[[#This Row],[HalfWidth]],DiscreteStatsTable[[#This Row],[BatchMeansHalfWidth]])</f>
        <v>2.655372674435396E-3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3</v>
      </c>
      <c r="D84" t="s">
        <v>81</v>
      </c>
      <c r="E84" t="s">
        <v>78</v>
      </c>
      <c r="F84" t="s">
        <v>79</v>
      </c>
      <c r="G84">
        <v>2.62065064416774E-2</v>
      </c>
      <c r="H84">
        <v>1.18756651257958E-2</v>
      </c>
      <c r="I84">
        <v>0</v>
      </c>
      <c r="J84">
        <v>0.79628265371081897</v>
      </c>
      <c r="K84">
        <v>517</v>
      </c>
      <c r="L84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1.9072361973256319E-2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1.28996514024759E-2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2.62065064416774E-2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1.1147114006012699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504.6</v>
      </c>
      <c r="W84">
        <f>IF((DiscreteStatsTable[[#This Row],[RepsRequested]]&gt;1),DiscreteStatsTable[[#This Row],[HalfWidth]],DiscreteStatsTable[[#This Row],[BatchMeansHalfWidth]])</f>
        <v>2.655372674435396E-3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4</v>
      </c>
      <c r="D85" t="s">
        <v>81</v>
      </c>
      <c r="E85" t="s">
        <v>78</v>
      </c>
      <c r="F85" t="s">
        <v>79</v>
      </c>
      <c r="G85">
        <v>1.7316876403115501E-2</v>
      </c>
      <c r="H85">
        <v>8.7641953931762596E-3</v>
      </c>
      <c r="I85">
        <v>0</v>
      </c>
      <c r="J85">
        <v>0.65235116731855702</v>
      </c>
      <c r="K85">
        <v>515</v>
      </c>
      <c r="L85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1.9072361973256319E-2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1.28996514024759E-2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2.62065064416774E-2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1.1147114006012699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504.6</v>
      </c>
      <c r="W85">
        <f>IF((DiscreteStatsTable[[#This Row],[RepsRequested]]&gt;1),DiscreteStatsTable[[#This Row],[HalfWidth]],DiscreteStatsTable[[#This Row],[BatchMeansHalfWidth]])</f>
        <v>2.655372674435396E-3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5</v>
      </c>
      <c r="D86" t="s">
        <v>81</v>
      </c>
      <c r="E86" t="s">
        <v>78</v>
      </c>
      <c r="F86" t="s">
        <v>79</v>
      </c>
      <c r="G86">
        <v>1.57038008912735E-2</v>
      </c>
      <c r="H86">
        <v>7.7936310897602397E-3</v>
      </c>
      <c r="I86">
        <v>0</v>
      </c>
      <c r="J86">
        <v>0.70220065082844496</v>
      </c>
      <c r="K86">
        <v>503</v>
      </c>
      <c r="L86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1.9072361973256319E-2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1.28996514024759E-2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2.62065064416774E-2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1.1147114006012699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504.6</v>
      </c>
      <c r="W86">
        <f>IF((DiscreteStatsTable[[#This Row],[RepsRequested]]&gt;1),DiscreteStatsTable[[#This Row],[HalfWidth]],DiscreteStatsTable[[#This Row],[BatchMeansHalfWidth]])</f>
        <v>2.655372674435396E-3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6</v>
      </c>
      <c r="D87" t="s">
        <v>81</v>
      </c>
      <c r="E87" t="s">
        <v>78</v>
      </c>
      <c r="F87" t="s">
        <v>79</v>
      </c>
      <c r="G87">
        <v>1.28996514024759E-2</v>
      </c>
      <c r="H87">
        <v>6.4027939881053696E-3</v>
      </c>
      <c r="I87">
        <v>0</v>
      </c>
      <c r="J87">
        <v>0.71731598326647406</v>
      </c>
      <c r="K87">
        <v>498</v>
      </c>
      <c r="L87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1.9072361973256319E-2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1.28996514024759E-2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2.62065064416774E-2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1.1147114006012699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504.6</v>
      </c>
      <c r="W87">
        <f>IF((DiscreteStatsTable[[#This Row],[RepsRequested]]&gt;1),DiscreteStatsTable[[#This Row],[HalfWidth]],DiscreteStatsTable[[#This Row],[BatchMeansHalfWidth]])</f>
        <v>2.655372674435396E-3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7</v>
      </c>
      <c r="D88" t="s">
        <v>81</v>
      </c>
      <c r="E88" t="s">
        <v>78</v>
      </c>
      <c r="F88" t="s">
        <v>79</v>
      </c>
      <c r="G88">
        <v>1.98982303966555E-2</v>
      </c>
      <c r="H88">
        <v>7.6672299419184697E-3</v>
      </c>
      <c r="I88">
        <v>0</v>
      </c>
      <c r="J88">
        <v>0.823212833335219</v>
      </c>
      <c r="K88">
        <v>471</v>
      </c>
      <c r="L88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1.9072361973256319E-2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1.28996514024759E-2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2.62065064416774E-2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1.1147114006012699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504.6</v>
      </c>
      <c r="W88">
        <f>IF((DiscreteStatsTable[[#This Row],[RepsRequested]]&gt;1),DiscreteStatsTable[[#This Row],[HalfWidth]],DiscreteStatsTable[[#This Row],[BatchMeansHalfWidth]])</f>
        <v>2.655372674435396E-3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8</v>
      </c>
      <c r="D89" t="s">
        <v>81</v>
      </c>
      <c r="E89" t="s">
        <v>78</v>
      </c>
      <c r="F89" t="s">
        <v>79</v>
      </c>
      <c r="G89">
        <v>2.2617221958164301E-2</v>
      </c>
      <c r="H89">
        <v>1.0840711143409801E-2</v>
      </c>
      <c r="I89">
        <v>0</v>
      </c>
      <c r="J89">
        <v>0.87449435339513604</v>
      </c>
      <c r="K89">
        <v>503</v>
      </c>
      <c r="L89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1.9072361973256319E-2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1.28996514024759E-2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2.62065064416774E-2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1.1147114006012699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504.6</v>
      </c>
      <c r="W89">
        <f>IF((DiscreteStatsTable[[#This Row],[RepsRequested]]&gt;1),DiscreteStatsTable[[#This Row],[HalfWidth]],DiscreteStatsTable[[#This Row],[BatchMeansHalfWidth]])</f>
        <v>2.655372674435396E-3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9</v>
      </c>
      <c r="D90" t="s">
        <v>81</v>
      </c>
      <c r="E90" t="s">
        <v>78</v>
      </c>
      <c r="F90" t="s">
        <v>79</v>
      </c>
      <c r="G90">
        <v>2.1064734717275699E-2</v>
      </c>
      <c r="H90">
        <v>8.8781317457192997E-3</v>
      </c>
      <c r="I90">
        <v>0</v>
      </c>
      <c r="J90">
        <v>0.76650315541269298</v>
      </c>
      <c r="K90">
        <v>522</v>
      </c>
      <c r="L90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1.9072361973256319E-2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1.28996514024759E-2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2.62065064416774E-2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1.1147114006012699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504.6</v>
      </c>
      <c r="W90">
        <f>IF((DiscreteStatsTable[[#This Row],[RepsRequested]]&gt;1),DiscreteStatsTable[[#This Row],[HalfWidth]],DiscreteStatsTable[[#This Row],[BatchMeansHalfWidth]])</f>
        <v>2.655372674435396E-3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10</v>
      </c>
      <c r="D91" t="s">
        <v>81</v>
      </c>
      <c r="E91" t="s">
        <v>78</v>
      </c>
      <c r="F91" t="s">
        <v>79</v>
      </c>
      <c r="G91">
        <v>1.7340789430437101E-2</v>
      </c>
      <c r="H91">
        <v>7.6949256747181304E-3</v>
      </c>
      <c r="I91">
        <v>0</v>
      </c>
      <c r="J91">
        <v>0.84579005065143098</v>
      </c>
      <c r="K91">
        <v>492</v>
      </c>
      <c r="L91" t="str">
        <f>DiscreteStatsTable[[#This Row],[ProjectName]]&amp;DiscreteStatsTable[[#This Row],[Name]]&amp;DiscreteStatsTable[[#This Row],[Type]]&amp;DiscreteStatsTable[[#This Row],[Source]]</f>
        <v>Unnamed ProjectRequest 1.QueueWaiting TimeQueue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1.9072361973256319E-2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3.7119550426822712E-3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2.655372674435396E-3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1.28996514024759E-2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2.62065064416774E-2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1.1147114006012699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504.6</v>
      </c>
      <c r="W91">
        <f>IF((DiscreteStatsTable[[#This Row],[RepsRequested]]&gt;1),DiscreteStatsTable[[#This Row],[HalfWidth]],DiscreteStatsTable[[#This Row],[BatchMeansHalfWidth]])</f>
        <v>2.655372674435396E-3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</v>
      </c>
      <c r="D92" t="s">
        <v>82</v>
      </c>
      <c r="E92" t="s">
        <v>78</v>
      </c>
      <c r="F92" t="s">
        <v>79</v>
      </c>
      <c r="G92">
        <v>1.18328175303101E-2</v>
      </c>
      <c r="H92">
        <v>2E+20</v>
      </c>
      <c r="I92">
        <v>0</v>
      </c>
      <c r="J92">
        <v>0.525923525356774</v>
      </c>
      <c r="K92">
        <v>307</v>
      </c>
      <c r="L92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1.0274088559774776E-2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4.5202037963940796E-3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1.7544713280225499E-2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0.68362639578560902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92">
        <f>IF((DiscreteStatsTable[[#This Row],[RepsRequested]]&gt;1),DiscreteStatsTable[[#This Row],[HalfWidth]],DiscreteStatsTable[[#This Row],[BatchMeansHalfWidth]])</f>
        <v>2.676822517516309E-3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2</v>
      </c>
      <c r="D93" t="s">
        <v>82</v>
      </c>
      <c r="E93" t="s">
        <v>78</v>
      </c>
      <c r="F93" t="s">
        <v>79</v>
      </c>
      <c r="G93">
        <v>9.1085282425380099E-3</v>
      </c>
      <c r="H93">
        <v>2E+20</v>
      </c>
      <c r="I93">
        <v>0</v>
      </c>
      <c r="J93">
        <v>0.39580821709000702</v>
      </c>
      <c r="K93">
        <v>303</v>
      </c>
      <c r="L93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1.0274088559774776E-2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4.5202037963940796E-3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1.7544713280225499E-2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0.68362639578560902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93">
        <f>IF((DiscreteStatsTable[[#This Row],[RepsRequested]]&gt;1),DiscreteStatsTable[[#This Row],[HalfWidth]],DiscreteStatsTable[[#This Row],[BatchMeansHalfWidth]])</f>
        <v>2.676822517516309E-3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3</v>
      </c>
      <c r="D94" t="s">
        <v>82</v>
      </c>
      <c r="E94" t="s">
        <v>78</v>
      </c>
      <c r="F94" t="s">
        <v>79</v>
      </c>
      <c r="G94">
        <v>1.1480974686326599E-2</v>
      </c>
      <c r="H94">
        <v>2E+20</v>
      </c>
      <c r="I94">
        <v>0</v>
      </c>
      <c r="J94">
        <v>0.53594980106777301</v>
      </c>
      <c r="K94">
        <v>306</v>
      </c>
      <c r="L94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1.0274088559774776E-2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4.5202037963940796E-3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1.7544713280225499E-2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0.68362639578560902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94">
        <f>IF((DiscreteStatsTable[[#This Row],[RepsRequested]]&gt;1),DiscreteStatsTable[[#This Row],[HalfWidth]],DiscreteStatsTable[[#This Row],[BatchMeansHalfWidth]])</f>
        <v>2.676822517516309E-3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4</v>
      </c>
      <c r="D95" t="s">
        <v>82</v>
      </c>
      <c r="E95" t="s">
        <v>78</v>
      </c>
      <c r="F95" t="s">
        <v>79</v>
      </c>
      <c r="G95">
        <v>1.7544713280225499E-2</v>
      </c>
      <c r="H95">
        <v>8.3571748804119692E-3</v>
      </c>
      <c r="I95">
        <v>0</v>
      </c>
      <c r="J95">
        <v>0.630794879250971</v>
      </c>
      <c r="K95">
        <v>323</v>
      </c>
      <c r="L95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1.0274088559774776E-2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4.5202037963940796E-3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1.7544713280225499E-2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0.68362639578560902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95">
        <f>IF((DiscreteStatsTable[[#This Row],[RepsRequested]]&gt;1),DiscreteStatsTable[[#This Row],[HalfWidth]],DiscreteStatsTable[[#This Row],[BatchMeansHalfWidth]])</f>
        <v>2.676822517516309E-3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5</v>
      </c>
      <c r="D96" t="s">
        <v>82</v>
      </c>
      <c r="E96" t="s">
        <v>78</v>
      </c>
      <c r="F96" t="s">
        <v>79</v>
      </c>
      <c r="G96">
        <v>6.2282139602942502E-3</v>
      </c>
      <c r="H96">
        <v>2E+20</v>
      </c>
      <c r="I96">
        <v>0</v>
      </c>
      <c r="J96">
        <v>0.52460768230469101</v>
      </c>
      <c r="K96">
        <v>290</v>
      </c>
      <c r="L96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1.0274088559774776E-2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4.5202037963940796E-3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1.7544713280225499E-2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0.68362639578560902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96">
        <f>IF((DiscreteStatsTable[[#This Row],[RepsRequested]]&gt;1),DiscreteStatsTable[[#This Row],[HalfWidth]],DiscreteStatsTable[[#This Row],[BatchMeansHalfWidth]])</f>
        <v>2.676822517516309E-3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6</v>
      </c>
      <c r="D97" t="s">
        <v>82</v>
      </c>
      <c r="E97" t="s">
        <v>78</v>
      </c>
      <c r="F97" t="s">
        <v>79</v>
      </c>
      <c r="G97">
        <v>4.5202037963940796E-3</v>
      </c>
      <c r="H97">
        <v>2E+20</v>
      </c>
      <c r="I97">
        <v>0</v>
      </c>
      <c r="J97">
        <v>0.41122194726051498</v>
      </c>
      <c r="K97">
        <v>319</v>
      </c>
      <c r="L97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1.0274088559774776E-2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4.5202037963940796E-3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1.7544713280225499E-2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0.68362639578560902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97">
        <f>IF((DiscreteStatsTable[[#This Row],[RepsRequested]]&gt;1),DiscreteStatsTable[[#This Row],[HalfWidth]],DiscreteStatsTable[[#This Row],[BatchMeansHalfWidth]])</f>
        <v>2.676822517516309E-3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7</v>
      </c>
      <c r="D98" t="s">
        <v>82</v>
      </c>
      <c r="E98" t="s">
        <v>78</v>
      </c>
      <c r="F98" t="s">
        <v>79</v>
      </c>
      <c r="G98">
        <v>1.19605535989835E-2</v>
      </c>
      <c r="H98">
        <v>2E+20</v>
      </c>
      <c r="I98">
        <v>0</v>
      </c>
      <c r="J98">
        <v>0.50679095115356199</v>
      </c>
      <c r="K98">
        <v>293</v>
      </c>
      <c r="L98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1.0274088559774776E-2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4.5202037963940796E-3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1.7544713280225499E-2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0.68362639578560902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98">
        <f>IF((DiscreteStatsTable[[#This Row],[RepsRequested]]&gt;1),DiscreteStatsTable[[#This Row],[HalfWidth]],DiscreteStatsTable[[#This Row],[BatchMeansHalfWidth]])</f>
        <v>2.676822517516309E-3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8</v>
      </c>
      <c r="D99" t="s">
        <v>82</v>
      </c>
      <c r="E99" t="s">
        <v>78</v>
      </c>
      <c r="F99" t="s">
        <v>79</v>
      </c>
      <c r="G99">
        <v>6.8510892074621198E-3</v>
      </c>
      <c r="H99">
        <v>2E+20</v>
      </c>
      <c r="I99">
        <v>0</v>
      </c>
      <c r="J99">
        <v>0.65306563940759998</v>
      </c>
      <c r="K99">
        <v>298</v>
      </c>
      <c r="L99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1.0274088559774776E-2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4.5202037963940796E-3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1.7544713280225499E-2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0.68362639578560902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99">
        <f>IF((DiscreteStatsTable[[#This Row],[RepsRequested]]&gt;1),DiscreteStatsTable[[#This Row],[HalfWidth]],DiscreteStatsTable[[#This Row],[BatchMeansHalfWidth]])</f>
        <v>2.676822517516309E-3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9</v>
      </c>
      <c r="D100" t="s">
        <v>82</v>
      </c>
      <c r="E100" t="s">
        <v>78</v>
      </c>
      <c r="F100" t="s">
        <v>79</v>
      </c>
      <c r="G100">
        <v>1.1205541288276799E-2</v>
      </c>
      <c r="H100">
        <v>2E+20</v>
      </c>
      <c r="I100">
        <v>0</v>
      </c>
      <c r="J100">
        <v>0.68362639578560902</v>
      </c>
      <c r="K100">
        <v>318</v>
      </c>
      <c r="L100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1.0274088559774776E-2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4.5202037963940796E-3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1.7544713280225499E-2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0.68362639578560902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100">
        <f>IF((DiscreteStatsTable[[#This Row],[RepsRequested]]&gt;1),DiscreteStatsTable[[#This Row],[HalfWidth]],DiscreteStatsTable[[#This Row],[BatchMeansHalfWidth]])</f>
        <v>2.676822517516309E-3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10</v>
      </c>
      <c r="D101" t="s">
        <v>82</v>
      </c>
      <c r="E101" t="s">
        <v>78</v>
      </c>
      <c r="F101" t="s">
        <v>79</v>
      </c>
      <c r="G101">
        <v>1.20082500069368E-2</v>
      </c>
      <c r="H101">
        <v>2E+20</v>
      </c>
      <c r="I101">
        <v>0</v>
      </c>
      <c r="J101">
        <v>0.445531850305315</v>
      </c>
      <c r="K101">
        <v>277</v>
      </c>
      <c r="L101" t="str">
        <f>DiscreteStatsTable[[#This Row],[ProjectName]]&amp;DiscreteStatsTable[[#This Row],[Name]]&amp;DiscreteStatsTable[[#This Row],[Type]]&amp;DiscreteStatsTable[[#This Row],[Source]]</f>
        <v>Unnamed ProjectRequest 2.QueueWaiting TimeQueue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1.0274088559774776E-2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3.741939855720188E-3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2.676822517516309E-3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4.5202037963940796E-3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1.7544713280225499E-2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0.68362639578560902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303.39999999999998</v>
      </c>
      <c r="W101">
        <f>IF((DiscreteStatsTable[[#This Row],[RepsRequested]]&gt;1),DiscreteStatsTable[[#This Row],[HalfWidth]],DiscreteStatsTable[[#This Row],[BatchMeansHalfWidth]])</f>
        <v>2.676822517516309E-3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</v>
      </c>
      <c r="D102" t="s">
        <v>83</v>
      </c>
      <c r="E102" t="s">
        <v>78</v>
      </c>
      <c r="F102" t="s">
        <v>79</v>
      </c>
      <c r="G102">
        <v>1.83270635070743E-2</v>
      </c>
      <c r="H102">
        <v>2E+20</v>
      </c>
      <c r="I102">
        <v>0</v>
      </c>
      <c r="J102">
        <v>0.60488724157130502</v>
      </c>
      <c r="K102">
        <v>195</v>
      </c>
      <c r="L102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1.214663698810564E-2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4.1258677798685604E-3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1.83270635070743E-2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0.72599175435163898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199.4</v>
      </c>
      <c r="W102">
        <f>IF((DiscreteStatsTable[[#This Row],[RepsRequested]]&gt;1),DiscreteStatsTable[[#This Row],[HalfWidth]],DiscreteStatsTable[[#This Row],[BatchMeansHalfWidth]])</f>
        <v>2.8696933798512732E-3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2</v>
      </c>
      <c r="D103" t="s">
        <v>83</v>
      </c>
      <c r="E103" t="s">
        <v>78</v>
      </c>
      <c r="F103" t="s">
        <v>79</v>
      </c>
      <c r="G103">
        <v>9.1973972429914702E-3</v>
      </c>
      <c r="H103">
        <v>2E+20</v>
      </c>
      <c r="I103">
        <v>0</v>
      </c>
      <c r="J103">
        <v>0.51097020826978201</v>
      </c>
      <c r="K103">
        <v>210</v>
      </c>
      <c r="L103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1.214663698810564E-2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4.1258677798685604E-3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1.83270635070743E-2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0.72599175435163898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199.4</v>
      </c>
      <c r="W103">
        <f>IF((DiscreteStatsTable[[#This Row],[RepsRequested]]&gt;1),DiscreteStatsTable[[#This Row],[HalfWidth]],DiscreteStatsTable[[#This Row],[BatchMeansHalfWidth]])</f>
        <v>2.8696933798512732E-3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3</v>
      </c>
      <c r="D104" t="s">
        <v>83</v>
      </c>
      <c r="E104" t="s">
        <v>78</v>
      </c>
      <c r="F104" t="s">
        <v>79</v>
      </c>
      <c r="G104">
        <v>1.13648449718637E-2</v>
      </c>
      <c r="H104">
        <v>2E+20</v>
      </c>
      <c r="I104">
        <v>0</v>
      </c>
      <c r="J104">
        <v>0.72599175435163898</v>
      </c>
      <c r="K104">
        <v>211</v>
      </c>
      <c r="L104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1.214663698810564E-2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4.1258677798685604E-3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1.83270635070743E-2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0.72599175435163898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199.4</v>
      </c>
      <c r="W104">
        <f>IF((DiscreteStatsTable[[#This Row],[RepsRequested]]&gt;1),DiscreteStatsTable[[#This Row],[HalfWidth]],DiscreteStatsTable[[#This Row],[BatchMeansHalfWidth]])</f>
        <v>2.8696933798512732E-3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4</v>
      </c>
      <c r="D105" t="s">
        <v>83</v>
      </c>
      <c r="E105" t="s">
        <v>78</v>
      </c>
      <c r="F105" t="s">
        <v>79</v>
      </c>
      <c r="G105">
        <v>4.1258677798685604E-3</v>
      </c>
      <c r="H105">
        <v>2E+20</v>
      </c>
      <c r="I105">
        <v>0</v>
      </c>
      <c r="J105">
        <v>0.37734815103249297</v>
      </c>
      <c r="K105">
        <v>192</v>
      </c>
      <c r="L105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1.214663698810564E-2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4.1258677798685604E-3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1.83270635070743E-2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0.72599175435163898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199.4</v>
      </c>
      <c r="W105">
        <f>IF((DiscreteStatsTable[[#This Row],[RepsRequested]]&gt;1),DiscreteStatsTable[[#This Row],[HalfWidth]],DiscreteStatsTable[[#This Row],[BatchMeansHalfWidth]])</f>
        <v>2.8696933798512732E-3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5</v>
      </c>
      <c r="D106" t="s">
        <v>83</v>
      </c>
      <c r="E106" t="s">
        <v>78</v>
      </c>
      <c r="F106" t="s">
        <v>79</v>
      </c>
      <c r="G106">
        <v>1.1622552950630799E-2</v>
      </c>
      <c r="H106">
        <v>2E+20</v>
      </c>
      <c r="I106">
        <v>0</v>
      </c>
      <c r="J106">
        <v>0.52724597375049598</v>
      </c>
      <c r="K106">
        <v>213</v>
      </c>
      <c r="L106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1.214663698810564E-2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4.1258677798685604E-3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1.83270635070743E-2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0.72599175435163898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199.4</v>
      </c>
      <c r="W106">
        <f>IF((DiscreteStatsTable[[#This Row],[RepsRequested]]&gt;1),DiscreteStatsTable[[#This Row],[HalfWidth]],DiscreteStatsTable[[#This Row],[BatchMeansHalfWidth]])</f>
        <v>2.8696933798512732E-3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6</v>
      </c>
      <c r="D107" t="s">
        <v>83</v>
      </c>
      <c r="E107" t="s">
        <v>78</v>
      </c>
      <c r="F107" t="s">
        <v>79</v>
      </c>
      <c r="G107">
        <v>1.4140016519478899E-2</v>
      </c>
      <c r="H107">
        <v>2E+20</v>
      </c>
      <c r="I107">
        <v>0</v>
      </c>
      <c r="J107">
        <v>0.436914833512901</v>
      </c>
      <c r="K107">
        <v>178</v>
      </c>
      <c r="L107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1.214663698810564E-2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4.1258677798685604E-3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1.83270635070743E-2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0.72599175435163898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199.4</v>
      </c>
      <c r="W107">
        <f>IF((DiscreteStatsTable[[#This Row],[RepsRequested]]&gt;1),DiscreteStatsTable[[#This Row],[HalfWidth]],DiscreteStatsTable[[#This Row],[BatchMeansHalfWidth]])</f>
        <v>2.8696933798512732E-3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7</v>
      </c>
      <c r="D108" t="s">
        <v>83</v>
      </c>
      <c r="E108" t="s">
        <v>78</v>
      </c>
      <c r="F108" t="s">
        <v>79</v>
      </c>
      <c r="G108">
        <v>1.33902784515815E-2</v>
      </c>
      <c r="H108">
        <v>2E+20</v>
      </c>
      <c r="I108">
        <v>0</v>
      </c>
      <c r="J108">
        <v>0.59107089858207496</v>
      </c>
      <c r="K108">
        <v>177</v>
      </c>
      <c r="L108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1.214663698810564E-2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4.1258677798685604E-3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1.83270635070743E-2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0.72599175435163898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199.4</v>
      </c>
      <c r="W108">
        <f>IF((DiscreteStatsTable[[#This Row],[RepsRequested]]&gt;1),DiscreteStatsTable[[#This Row],[HalfWidth]],DiscreteStatsTable[[#This Row],[BatchMeansHalfWidth]])</f>
        <v>2.8696933798512732E-3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8</v>
      </c>
      <c r="D109" t="s">
        <v>83</v>
      </c>
      <c r="E109" t="s">
        <v>78</v>
      </c>
      <c r="F109" t="s">
        <v>79</v>
      </c>
      <c r="G109">
        <v>1.3400006870345E-2</v>
      </c>
      <c r="H109">
        <v>2E+20</v>
      </c>
      <c r="I109">
        <v>0</v>
      </c>
      <c r="J109">
        <v>0.62619264065529001</v>
      </c>
      <c r="K109">
        <v>202</v>
      </c>
      <c r="L109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1.214663698810564E-2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4.1258677798685604E-3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1.83270635070743E-2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0.72599175435163898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199.4</v>
      </c>
      <c r="W109">
        <f>IF((DiscreteStatsTable[[#This Row],[RepsRequested]]&gt;1),DiscreteStatsTable[[#This Row],[HalfWidth]],DiscreteStatsTable[[#This Row],[BatchMeansHalfWidth]])</f>
        <v>2.8696933798512732E-3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9</v>
      </c>
      <c r="D110" t="s">
        <v>83</v>
      </c>
      <c r="E110" t="s">
        <v>78</v>
      </c>
      <c r="F110" t="s">
        <v>79</v>
      </c>
      <c r="G110">
        <v>9.4606474319284695E-3</v>
      </c>
      <c r="H110">
        <v>2E+20</v>
      </c>
      <c r="I110">
        <v>0</v>
      </c>
      <c r="J110">
        <v>0.53797943843551399</v>
      </c>
      <c r="K110">
        <v>203</v>
      </c>
      <c r="L110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1.214663698810564E-2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4.1258677798685604E-3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1.83270635070743E-2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0.72599175435163898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199.4</v>
      </c>
      <c r="W110">
        <f>IF((DiscreteStatsTable[[#This Row],[RepsRequested]]&gt;1),DiscreteStatsTable[[#This Row],[HalfWidth]],DiscreteStatsTable[[#This Row],[BatchMeansHalfWidth]])</f>
        <v>2.8696933798512732E-3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10</v>
      </c>
      <c r="D111" t="s">
        <v>83</v>
      </c>
      <c r="E111" t="s">
        <v>78</v>
      </c>
      <c r="F111" t="s">
        <v>79</v>
      </c>
      <c r="G111">
        <v>1.6437694155293701E-2</v>
      </c>
      <c r="H111">
        <v>2E+20</v>
      </c>
      <c r="I111">
        <v>0</v>
      </c>
      <c r="J111">
        <v>0.72445770280705801</v>
      </c>
      <c r="K111">
        <v>213</v>
      </c>
      <c r="L111" t="str">
        <f>DiscreteStatsTable[[#This Row],[ProjectName]]&amp;DiscreteStatsTable[[#This Row],[Name]]&amp;DiscreteStatsTable[[#This Row],[Type]]&amp;DiscreteStatsTable[[#This Row],[Source]]</f>
        <v>Unnamed ProjectRequest 3.QueueWaiting TimeQueue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1.214663698810564E-2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4.0115547300929441E-3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2.8696933798512732E-3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4.1258677798685604E-3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1.83270635070743E-2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0.72599175435163898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199.4</v>
      </c>
      <c r="W111">
        <f>IF((DiscreteStatsTable[[#This Row],[RepsRequested]]&gt;1),DiscreteStatsTable[[#This Row],[HalfWidth]],DiscreteStatsTable[[#This Row],[BatchMeansHalfWidth]])</f>
        <v>2.8696933798512732E-3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</v>
      </c>
      <c r="D112" t="s">
        <v>84</v>
      </c>
      <c r="E112" t="s">
        <v>78</v>
      </c>
      <c r="F112" t="s">
        <v>79</v>
      </c>
      <c r="G112">
        <v>1.3993641249566599E-2</v>
      </c>
      <c r="H112">
        <v>2E+20</v>
      </c>
      <c r="I112">
        <v>0</v>
      </c>
      <c r="J112">
        <v>0.58653131214396104</v>
      </c>
      <c r="K112">
        <v>195</v>
      </c>
      <c r="L112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1.2245654378318597E-2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2.2511402359893999E-3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1.7143620669457901E-2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0.89819076808726095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199.2</v>
      </c>
      <c r="W112">
        <f>IF((DiscreteStatsTable[[#This Row],[RepsRequested]]&gt;1),DiscreteStatsTable[[#This Row],[HalfWidth]],DiscreteStatsTable[[#This Row],[BatchMeansHalfWidth]])</f>
        <v>2.9341213255668864E-3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2</v>
      </c>
      <c r="D113" t="s">
        <v>84</v>
      </c>
      <c r="E113" t="s">
        <v>78</v>
      </c>
      <c r="F113" t="s">
        <v>79</v>
      </c>
      <c r="G113">
        <v>1.27891563211034E-2</v>
      </c>
      <c r="H113">
        <v>2E+20</v>
      </c>
      <c r="I113">
        <v>0</v>
      </c>
      <c r="J113">
        <v>0.532385575175226</v>
      </c>
      <c r="K113">
        <v>210</v>
      </c>
      <c r="L113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1.2245654378318597E-2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2.2511402359893999E-3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1.7143620669457901E-2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0.89819076808726095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199.2</v>
      </c>
      <c r="W113">
        <f>IF((DiscreteStatsTable[[#This Row],[RepsRequested]]&gt;1),DiscreteStatsTable[[#This Row],[HalfWidth]],DiscreteStatsTable[[#This Row],[BatchMeansHalfWidth]])</f>
        <v>2.9341213255668864E-3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3</v>
      </c>
      <c r="D114" t="s">
        <v>84</v>
      </c>
      <c r="E114" t="s">
        <v>78</v>
      </c>
      <c r="F114" t="s">
        <v>79</v>
      </c>
      <c r="G114">
        <v>1.2863028814408799E-2</v>
      </c>
      <c r="H114">
        <v>2E+20</v>
      </c>
      <c r="I114">
        <v>0</v>
      </c>
      <c r="J114">
        <v>0.42626892102885</v>
      </c>
      <c r="K114">
        <v>211</v>
      </c>
      <c r="L114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1.2245654378318597E-2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2.2511402359893999E-3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1.7143620669457901E-2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0.89819076808726095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199.2</v>
      </c>
      <c r="W114">
        <f>IF((DiscreteStatsTable[[#This Row],[RepsRequested]]&gt;1),DiscreteStatsTable[[#This Row],[HalfWidth]],DiscreteStatsTable[[#This Row],[BatchMeansHalfWidth]])</f>
        <v>2.9341213255668864E-3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4</v>
      </c>
      <c r="D115" t="s">
        <v>84</v>
      </c>
      <c r="E115" t="s">
        <v>78</v>
      </c>
      <c r="F115" t="s">
        <v>79</v>
      </c>
      <c r="G115">
        <v>1.10657677528537E-2</v>
      </c>
      <c r="H115">
        <v>2E+20</v>
      </c>
      <c r="I115">
        <v>0</v>
      </c>
      <c r="J115">
        <v>0.64514424588675501</v>
      </c>
      <c r="K115">
        <v>191</v>
      </c>
      <c r="L115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1.2245654378318597E-2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2.2511402359893999E-3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1.7143620669457901E-2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0.89819076808726095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199.2</v>
      </c>
      <c r="W115">
        <f>IF((DiscreteStatsTable[[#This Row],[RepsRequested]]&gt;1),DiscreteStatsTable[[#This Row],[HalfWidth]],DiscreteStatsTable[[#This Row],[BatchMeansHalfWidth]])</f>
        <v>2.9341213255668864E-3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5</v>
      </c>
      <c r="D116" t="s">
        <v>84</v>
      </c>
      <c r="E116" t="s">
        <v>78</v>
      </c>
      <c r="F116" t="s">
        <v>79</v>
      </c>
      <c r="G116">
        <v>1.2936897425060099E-2</v>
      </c>
      <c r="H116">
        <v>2E+20</v>
      </c>
      <c r="I116">
        <v>0</v>
      </c>
      <c r="J116">
        <v>0.57962260179976999</v>
      </c>
      <c r="K116">
        <v>213</v>
      </c>
      <c r="L116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1.2245654378318597E-2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2.2511402359893999E-3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1.7143620669457901E-2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0.89819076808726095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199.2</v>
      </c>
      <c r="W116">
        <f>IF((DiscreteStatsTable[[#This Row],[RepsRequested]]&gt;1),DiscreteStatsTable[[#This Row],[HalfWidth]],DiscreteStatsTable[[#This Row],[BatchMeansHalfWidth]])</f>
        <v>2.9341213255668864E-3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6</v>
      </c>
      <c r="D117" t="s">
        <v>84</v>
      </c>
      <c r="E117" t="s">
        <v>78</v>
      </c>
      <c r="F117" t="s">
        <v>79</v>
      </c>
      <c r="G117">
        <v>9.7493948768653804E-3</v>
      </c>
      <c r="H117">
        <v>2E+20</v>
      </c>
      <c r="I117">
        <v>0</v>
      </c>
      <c r="J117">
        <v>0.43796189265026397</v>
      </c>
      <c r="K117">
        <v>178</v>
      </c>
      <c r="L117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1.2245654378318597E-2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2.2511402359893999E-3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1.7143620669457901E-2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0.89819076808726095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199.2</v>
      </c>
      <c r="W117">
        <f>IF((DiscreteStatsTable[[#This Row],[RepsRequested]]&gt;1),DiscreteStatsTable[[#This Row],[HalfWidth]],DiscreteStatsTable[[#This Row],[BatchMeansHalfWidth]])</f>
        <v>2.9341213255668864E-3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7</v>
      </c>
      <c r="D118" t="s">
        <v>84</v>
      </c>
      <c r="E118" t="s">
        <v>78</v>
      </c>
      <c r="F118" t="s">
        <v>79</v>
      </c>
      <c r="G118">
        <v>2.2511402359893999E-3</v>
      </c>
      <c r="H118">
        <v>2E+20</v>
      </c>
      <c r="I118">
        <v>0</v>
      </c>
      <c r="J118">
        <v>0.200169574990753</v>
      </c>
      <c r="K118">
        <v>177</v>
      </c>
      <c r="L118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1.2245654378318597E-2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2.2511402359893999E-3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1.7143620669457901E-2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0.89819076808726095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199.2</v>
      </c>
      <c r="W118">
        <f>IF((DiscreteStatsTable[[#This Row],[RepsRequested]]&gt;1),DiscreteStatsTable[[#This Row],[HalfWidth]],DiscreteStatsTable[[#This Row],[BatchMeansHalfWidth]])</f>
        <v>2.9341213255668864E-3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8</v>
      </c>
      <c r="D119" t="s">
        <v>84</v>
      </c>
      <c r="E119" t="s">
        <v>78</v>
      </c>
      <c r="F119" t="s">
        <v>79</v>
      </c>
      <c r="G119">
        <v>1.5908518510130101E-2</v>
      </c>
      <c r="H119">
        <v>2E+20</v>
      </c>
      <c r="I119">
        <v>0</v>
      </c>
      <c r="J119">
        <v>0.564368006649829</v>
      </c>
      <c r="K119">
        <v>201</v>
      </c>
      <c r="L119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1.2245654378318597E-2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2.2511402359893999E-3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1.7143620669457901E-2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0.89819076808726095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199.2</v>
      </c>
      <c r="W119">
        <f>IF((DiscreteStatsTable[[#This Row],[RepsRequested]]&gt;1),DiscreteStatsTable[[#This Row],[HalfWidth]],DiscreteStatsTable[[#This Row],[BatchMeansHalfWidth]])</f>
        <v>2.9341213255668864E-3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9</v>
      </c>
      <c r="D120" t="s">
        <v>84</v>
      </c>
      <c r="E120" t="s">
        <v>78</v>
      </c>
      <c r="F120" t="s">
        <v>79</v>
      </c>
      <c r="G120">
        <v>1.3755377927750599E-2</v>
      </c>
      <c r="H120">
        <v>2E+20</v>
      </c>
      <c r="I120">
        <v>0</v>
      </c>
      <c r="J120">
        <v>0.73380637410514304</v>
      </c>
      <c r="K120">
        <v>203</v>
      </c>
      <c r="L120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1.2245654378318597E-2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2.2511402359893999E-3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1.7143620669457901E-2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0.89819076808726095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199.2</v>
      </c>
      <c r="W120">
        <f>IF((DiscreteStatsTable[[#This Row],[RepsRequested]]&gt;1),DiscreteStatsTable[[#This Row],[HalfWidth]],DiscreteStatsTable[[#This Row],[BatchMeansHalfWidth]])</f>
        <v>2.9341213255668864E-3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10</v>
      </c>
      <c r="D121" t="s">
        <v>84</v>
      </c>
      <c r="E121" t="s">
        <v>78</v>
      </c>
      <c r="F121" t="s">
        <v>79</v>
      </c>
      <c r="G121">
        <v>1.7143620669457901E-2</v>
      </c>
      <c r="H121">
        <v>2E+20</v>
      </c>
      <c r="I121">
        <v>0</v>
      </c>
      <c r="J121">
        <v>0.89819076808726095</v>
      </c>
      <c r="K121">
        <v>213</v>
      </c>
      <c r="L121" t="str">
        <f>DiscreteStatsTable[[#This Row],[ProjectName]]&amp;DiscreteStatsTable[[#This Row],[Name]]&amp;DiscreteStatsTable[[#This Row],[Type]]&amp;DiscreteStatsTable[[#This Row],[Source]]</f>
        <v>Unnamed ProjectRequest 4.QueueWaiting TimeQueue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1.2245654378318597E-2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4.101618787877067E-3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2.9341213255668864E-3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2.2511402359893999E-3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1.7143620669457901E-2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0.89819076808726095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199.2</v>
      </c>
      <c r="W121">
        <f>IF((DiscreteStatsTable[[#This Row],[RepsRequested]]&gt;1),DiscreteStatsTable[[#This Row],[HalfWidth]],DiscreteStatsTable[[#This Row],[BatchMeansHalfWidth]])</f>
        <v>2.9341213255668864E-3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</sheetData>
  <phoneticPr fontId="2" type="noConversion"/>
  <conditionalFormatting sqref="H2:H121">
    <cfRule type="expression" dxfId="21" priority="23">
      <formula>H2=200000000000000000000</formula>
    </cfRule>
  </conditionalFormatting>
  <conditionalFormatting sqref="H2:H121">
    <cfRule type="expression" dxfId="20" priority="21">
      <formula>H2=300000000000000000000</formula>
    </cfRule>
  </conditionalFormatting>
  <conditionalFormatting sqref="L2:Y121">
    <cfRule type="expression" dxfId="19" priority="19">
      <formula>MOD(ROW(),2)=0</formula>
    </cfRule>
  </conditionalFormatting>
  <conditionalFormatting sqref="Y2:Y121">
    <cfRule type="expression" dxfId="18" priority="14">
      <formula>Y2=0</formula>
    </cfRule>
    <cfRule type="expression" dxfId="17" priority="16">
      <formula>Y2=1</formula>
    </cfRule>
  </conditionalFormatting>
  <conditionalFormatting sqref="Y3:Y121">
    <cfRule type="expression" dxfId="16" priority="15">
      <formula>Y3=1</formula>
    </cfRule>
  </conditionalFormatting>
  <conditionalFormatting sqref="W2:W121">
    <cfRule type="expression" dxfId="15" priority="6">
      <formula>W2=300000000000000000000</formula>
    </cfRule>
    <cfRule type="expression" dxfId="14" priority="7">
      <formula>W2=200000000000000000000</formula>
    </cfRule>
  </conditionalFormatting>
  <conditionalFormatting sqref="Q2:Q121">
    <cfRule type="expression" dxfId="13" priority="5">
      <formula>Q2=200000000000000000000</formula>
    </cfRule>
  </conditionalFormatting>
  <conditionalFormatting sqref="Q2:Q121">
    <cfRule type="expression" dxfId="12" priority="2">
      <formula>Q2=400000000000000000000</formula>
    </cfRule>
  </conditionalFormatting>
  <conditionalFormatting sqref="W2:W121">
    <cfRule type="expression" dxfId="11" priority="1">
      <formula>W2=400000000000000000000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31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3.66406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61.2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85</v>
      </c>
      <c r="E2" t="s">
        <v>86</v>
      </c>
      <c r="F2" t="s">
        <v>87</v>
      </c>
      <c r="G2">
        <v>0.75583120438763196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0.71419407115187294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0.77930529942358095</v>
      </c>
      <c r="U2">
        <f>IF((ContinuousStatsTable[[#This Row],[RepsRequested]]&gt;1),ContinuousStatsTable[[#This Row],[HalfWidth]],ContinuousStatsTable[[#This Row],[BatchMeansHalfWidth]])</f>
        <v>1.6179738801761465E-2</v>
      </c>
    </row>
    <row r="3" spans="1:21" x14ac:dyDescent="0.3">
      <c r="A3" t="s">
        <v>66</v>
      </c>
      <c r="B3" t="s">
        <v>68</v>
      </c>
      <c r="C3">
        <v>1</v>
      </c>
      <c r="D3" t="s">
        <v>85</v>
      </c>
      <c r="E3" t="s">
        <v>88</v>
      </c>
      <c r="F3" t="s">
        <v>87</v>
      </c>
      <c r="G3">
        <v>0.75583120438763196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0.71419407115187294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0.77930529942358095</v>
      </c>
      <c r="U3">
        <f>IF((ContinuousStatsTable[[#This Row],[RepsRequested]]&gt;1),ContinuousStatsTable[[#This Row],[HalfWidth]],ContinuousStatsTable[[#This Row],[BatchMeansHalfWidth]])</f>
        <v>1.6179738801761465E-2</v>
      </c>
    </row>
    <row r="4" spans="1:21" x14ac:dyDescent="0.3">
      <c r="A4" t="s">
        <v>66</v>
      </c>
      <c r="B4" t="s">
        <v>68</v>
      </c>
      <c r="C4">
        <v>1</v>
      </c>
      <c r="D4" t="s">
        <v>85</v>
      </c>
      <c r="E4" t="s">
        <v>89</v>
      </c>
      <c r="F4" t="s">
        <v>87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A5" t="s">
        <v>66</v>
      </c>
      <c r="B5" t="s">
        <v>68</v>
      </c>
      <c r="C5">
        <v>1</v>
      </c>
      <c r="D5" t="s">
        <v>69</v>
      </c>
      <c r="E5" t="s">
        <v>90</v>
      </c>
      <c r="F5" t="s">
        <v>71</v>
      </c>
      <c r="G5">
        <v>2.6218076203044798</v>
      </c>
      <c r="H5">
        <v>0.50842360156543498</v>
      </c>
      <c r="I5">
        <v>0</v>
      </c>
      <c r="J5">
        <v>10</v>
      </c>
      <c r="K5">
        <v>4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2.2160183111888898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2.9760434619251201</v>
      </c>
      <c r="U5">
        <f>IF((ContinuousStatsTable[[#This Row],[RepsRequested]]&gt;1),ContinuousStatsTable[[#This Row],[HalfWidth]],ContinuousStatsTable[[#This Row],[BatchMeansHalfWidth]])</f>
        <v>0.18257334807025916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91</v>
      </c>
      <c r="F6" t="s">
        <v>79</v>
      </c>
      <c r="G6">
        <v>1.2324867778880499</v>
      </c>
      <c r="H6">
        <v>0.40200862382541003</v>
      </c>
      <c r="I6">
        <v>0</v>
      </c>
      <c r="J6">
        <v>8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0.89935067686704995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1.6405547501891999</v>
      </c>
      <c r="U6">
        <f>IF((ContinuousStatsTable[[#This Row],[RepsRequested]]&gt;1),ContinuousStatsTable[[#This Row],[HalfWidth]],ContinuousStatsTable[[#This Row],[BatchMeansHalfWidth]])</f>
        <v>0.17644718665595893</v>
      </c>
    </row>
    <row r="7" spans="1:21" x14ac:dyDescent="0.3">
      <c r="A7" t="s">
        <v>66</v>
      </c>
      <c r="B7" t="s">
        <v>68</v>
      </c>
      <c r="C7">
        <v>1</v>
      </c>
      <c r="D7" t="s">
        <v>80</v>
      </c>
      <c r="E7" t="s">
        <v>91</v>
      </c>
      <c r="F7" t="s">
        <v>79</v>
      </c>
      <c r="G7">
        <v>5.4787058325911201E-4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2.2069141604617899E-5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6.2059425224605404E-4</v>
      </c>
      <c r="U7">
        <f>IF((ContinuousStatsTable[[#This Row],[RepsRequested]]&gt;1),ContinuousStatsTable[[#This Row],[HalfWidth]],ContinuousStatsTable[[#This Row],[BatchMeansHalfWidth]])</f>
        <v>1.5018604420562854E-4</v>
      </c>
    </row>
    <row r="8" spans="1:21" x14ac:dyDescent="0.3">
      <c r="A8" t="s">
        <v>66</v>
      </c>
      <c r="B8" t="s">
        <v>68</v>
      </c>
      <c r="C8">
        <v>1</v>
      </c>
      <c r="D8" t="s">
        <v>92</v>
      </c>
      <c r="E8" t="s">
        <v>86</v>
      </c>
      <c r="F8" t="s">
        <v>87</v>
      </c>
      <c r="G8">
        <v>0.19490866254945699</v>
      </c>
      <c r="H8">
        <v>2.7385993942579401E-2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0.17745123836948901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0.211848867954925</v>
      </c>
      <c r="U8">
        <f>IF((ContinuousStatsTable[[#This Row],[RepsRequested]]&gt;1),ContinuousStatsTable[[#This Row],[HalfWidth]],ContinuousStatsTable[[#This Row],[BatchMeansHalfWidth]])</f>
        <v>9.2063464017040682E-3</v>
      </c>
    </row>
    <row r="9" spans="1:21" x14ac:dyDescent="0.3">
      <c r="A9" t="s">
        <v>66</v>
      </c>
      <c r="B9" t="s">
        <v>68</v>
      </c>
      <c r="C9">
        <v>1</v>
      </c>
      <c r="D9" t="s">
        <v>92</v>
      </c>
      <c r="E9" t="s">
        <v>88</v>
      </c>
      <c r="F9" t="s">
        <v>87</v>
      </c>
      <c r="G9">
        <v>0.19490866254945699</v>
      </c>
      <c r="H9">
        <v>2.7385993942579401E-2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0.17745123836948901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0.211848867954925</v>
      </c>
      <c r="U9">
        <f>IF((ContinuousStatsTable[[#This Row],[RepsRequested]]&gt;1),ContinuousStatsTable[[#This Row],[HalfWidth]],ContinuousStatsTable[[#This Row],[BatchMeansHalfWidth]])</f>
        <v>9.2063464017040682E-3</v>
      </c>
    </row>
    <row r="10" spans="1:21" x14ac:dyDescent="0.3">
      <c r="A10" t="s">
        <v>66</v>
      </c>
      <c r="B10" t="s">
        <v>68</v>
      </c>
      <c r="C10">
        <v>1</v>
      </c>
      <c r="D10" t="s">
        <v>92</v>
      </c>
      <c r="E10" t="s">
        <v>89</v>
      </c>
      <c r="F10" t="s">
        <v>87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1</v>
      </c>
      <c r="D11" t="s">
        <v>81</v>
      </c>
      <c r="E11" t="s">
        <v>91</v>
      </c>
      <c r="F11" t="s">
        <v>79</v>
      </c>
      <c r="G11">
        <v>4.6665409615817104E-3</v>
      </c>
      <c r="H11">
        <v>2E+20</v>
      </c>
      <c r="I11">
        <v>0</v>
      </c>
      <c r="J11">
        <v>2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3.2120131992165002E-3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6.7743819151736204E-3</v>
      </c>
      <c r="U11">
        <f>IF((ContinuousStatsTable[[#This Row],[RepsRequested]]&gt;1),ContinuousStatsTable[[#This Row],[HalfWidth]],ContinuousStatsTable[[#This Row],[BatchMeansHalfWidth]])</f>
        <v>7.1074337464513838E-4</v>
      </c>
    </row>
    <row r="12" spans="1:21" x14ac:dyDescent="0.3">
      <c r="A12" t="s">
        <v>66</v>
      </c>
      <c r="B12" t="s">
        <v>68</v>
      </c>
      <c r="C12">
        <v>1</v>
      </c>
      <c r="D12" t="s">
        <v>82</v>
      </c>
      <c r="E12" t="s">
        <v>91</v>
      </c>
      <c r="F12" t="s">
        <v>79</v>
      </c>
      <c r="G12">
        <v>1.8163374909025999E-3</v>
      </c>
      <c r="H12">
        <v>2E+20</v>
      </c>
      <c r="I12">
        <v>0</v>
      </c>
      <c r="J12">
        <v>1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7.20972505524855E-4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2.83347119475641E-3</v>
      </c>
      <c r="U12">
        <f>IF((ContinuousStatsTable[[#This Row],[RepsRequested]]&gt;1),ContinuousStatsTable[[#This Row],[HalfWidth]],ContinuousStatsTable[[#This Row],[BatchMeansHalfWidth]])</f>
        <v>4.3057034897828515E-4</v>
      </c>
    </row>
    <row r="13" spans="1:21" x14ac:dyDescent="0.3">
      <c r="A13" t="s">
        <v>66</v>
      </c>
      <c r="B13" t="s">
        <v>68</v>
      </c>
      <c r="C13">
        <v>1</v>
      </c>
      <c r="D13" t="s">
        <v>83</v>
      </c>
      <c r="E13" t="s">
        <v>91</v>
      </c>
      <c r="F13" t="s">
        <v>79</v>
      </c>
      <c r="G13">
        <v>1.78688869193974E-3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3.9608330686738202E-4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1.78688869193974E-3</v>
      </c>
      <c r="U13">
        <f>IF((ContinuousStatsTable[[#This Row],[RepsRequested]]&gt;1),ContinuousStatsTable[[#This Row],[HalfWidth]],ContinuousStatsTable[[#This Row],[BatchMeansHalfWidth]])</f>
        <v>2.8554515794241967E-4</v>
      </c>
    </row>
    <row r="14" spans="1:21" x14ac:dyDescent="0.3">
      <c r="A14" t="s">
        <v>66</v>
      </c>
      <c r="B14" t="s">
        <v>68</v>
      </c>
      <c r="C14">
        <v>1</v>
      </c>
      <c r="D14" t="s">
        <v>84</v>
      </c>
      <c r="E14" t="s">
        <v>91</v>
      </c>
      <c r="F14" t="s">
        <v>79</v>
      </c>
      <c r="G14">
        <v>1.3643800218327399E-3</v>
      </c>
      <c r="H14">
        <v>2E+20</v>
      </c>
      <c r="I14">
        <v>0</v>
      </c>
      <c r="J14">
        <v>1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1.9922591088506199E-4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1.8257956012972701E-3</v>
      </c>
      <c r="U14">
        <f>IF((ContinuousStatsTable[[#This Row],[RepsRequested]]&gt;1),ContinuousStatsTable[[#This Row],[HalfWidth]],ContinuousStatsTable[[#This Row],[BatchMeansHalfWidth]])</f>
        <v>3.2083970764496515E-4</v>
      </c>
    </row>
    <row r="15" spans="1:21" x14ac:dyDescent="0.3">
      <c r="A15" t="s">
        <v>66</v>
      </c>
      <c r="B15" t="s">
        <v>68</v>
      </c>
      <c r="C15">
        <v>2</v>
      </c>
      <c r="D15" t="s">
        <v>85</v>
      </c>
      <c r="E15" t="s">
        <v>86</v>
      </c>
      <c r="F15" t="s">
        <v>87</v>
      </c>
      <c r="G15">
        <v>0.77256234134644597</v>
      </c>
      <c r="H15">
        <v>2E+20</v>
      </c>
      <c r="I15">
        <v>0</v>
      </c>
      <c r="J15">
        <v>1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0.71419407115187294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0.77930529942358095</v>
      </c>
      <c r="U15">
        <f>IF((ContinuousStatsTable[[#This Row],[RepsRequested]]&gt;1),ContinuousStatsTable[[#This Row],[HalfWidth]],ContinuousStatsTable[[#This Row],[BatchMeansHalfWidth]])</f>
        <v>1.6179738801761465E-2</v>
      </c>
    </row>
    <row r="16" spans="1:21" x14ac:dyDescent="0.3">
      <c r="A16" t="s">
        <v>66</v>
      </c>
      <c r="B16" t="s">
        <v>68</v>
      </c>
      <c r="C16">
        <v>2</v>
      </c>
      <c r="D16" t="s">
        <v>85</v>
      </c>
      <c r="E16" t="s">
        <v>88</v>
      </c>
      <c r="F16" t="s">
        <v>87</v>
      </c>
      <c r="G16">
        <v>0.77256234134644597</v>
      </c>
      <c r="H16">
        <v>2E+20</v>
      </c>
      <c r="I16">
        <v>0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0.71419407115187294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0.77930529942358095</v>
      </c>
      <c r="U16">
        <f>IF((ContinuousStatsTable[[#This Row],[RepsRequested]]&gt;1),ContinuousStatsTable[[#This Row],[HalfWidth]],ContinuousStatsTable[[#This Row],[BatchMeansHalfWidth]])</f>
        <v>1.6179738801761465E-2</v>
      </c>
    </row>
    <row r="17" spans="1:21" x14ac:dyDescent="0.3">
      <c r="A17" t="s">
        <v>66</v>
      </c>
      <c r="B17" t="s">
        <v>68</v>
      </c>
      <c r="C17">
        <v>2</v>
      </c>
      <c r="D17" t="s">
        <v>85</v>
      </c>
      <c r="E17" t="s">
        <v>89</v>
      </c>
      <c r="F17" t="s">
        <v>87</v>
      </c>
      <c r="G17">
        <v>1</v>
      </c>
      <c r="H17">
        <v>2E+20</v>
      </c>
      <c r="I17">
        <v>1</v>
      </c>
      <c r="J17">
        <v>1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1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</v>
      </c>
      <c r="U17">
        <f>IF((ContinuousStatsTable[[#This Row],[RepsRequested]]&gt;1),ContinuousStatsTable[[#This Row],[HalfWidth]],ContinuousStatsTable[[#This Row],[BatchMeansHalfWidth]])</f>
        <v>0</v>
      </c>
    </row>
    <row r="18" spans="1:21" x14ac:dyDescent="0.3">
      <c r="A18" t="s">
        <v>66</v>
      </c>
      <c r="B18" t="s">
        <v>68</v>
      </c>
      <c r="C18">
        <v>2</v>
      </c>
      <c r="D18" t="s">
        <v>69</v>
      </c>
      <c r="E18" t="s">
        <v>90</v>
      </c>
      <c r="F18" t="s">
        <v>71</v>
      </c>
      <c r="G18">
        <v>2.4441582690249599</v>
      </c>
      <c r="H18">
        <v>0.37594198132571599</v>
      </c>
      <c r="I18">
        <v>0</v>
      </c>
      <c r="J18">
        <v>8</v>
      </c>
      <c r="K18">
        <v>8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2.2160183111888898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2.9760434619251201</v>
      </c>
      <c r="U18">
        <f>IF((ContinuousStatsTable[[#This Row],[RepsRequested]]&gt;1),ContinuousStatsTable[[#This Row],[HalfWidth]],ContinuousStatsTable[[#This Row],[BatchMeansHalfWidth]])</f>
        <v>0.18257334807025916</v>
      </c>
    </row>
    <row r="19" spans="1:21" x14ac:dyDescent="0.3">
      <c r="A19" t="s">
        <v>66</v>
      </c>
      <c r="B19" t="s">
        <v>68</v>
      </c>
      <c r="C19">
        <v>2</v>
      </c>
      <c r="D19" t="s">
        <v>77</v>
      </c>
      <c r="E19" t="s">
        <v>91</v>
      </c>
      <c r="F19" t="s">
        <v>79</v>
      </c>
      <c r="G19">
        <v>1.01132270893958</v>
      </c>
      <c r="H19">
        <v>0.30182100529546801</v>
      </c>
      <c r="I19">
        <v>0</v>
      </c>
      <c r="J19">
        <v>6</v>
      </c>
      <c r="K19">
        <v>4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0.89935067686704995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1.6405547501891999</v>
      </c>
      <c r="U19">
        <f>IF((ContinuousStatsTable[[#This Row],[RepsRequested]]&gt;1),ContinuousStatsTable[[#This Row],[HalfWidth]],ContinuousStatsTable[[#This Row],[BatchMeansHalfWidth]])</f>
        <v>0.17644718665595893</v>
      </c>
    </row>
    <row r="20" spans="1:21" x14ac:dyDescent="0.3">
      <c r="A20" t="s">
        <v>66</v>
      </c>
      <c r="B20" t="s">
        <v>68</v>
      </c>
      <c r="C20">
        <v>2</v>
      </c>
      <c r="D20" t="s">
        <v>80</v>
      </c>
      <c r="E20" t="s">
        <v>91</v>
      </c>
      <c r="F20" t="s">
        <v>79</v>
      </c>
      <c r="G20">
        <v>2.0088565851929699E-4</v>
      </c>
      <c r="H20">
        <v>2E+20</v>
      </c>
      <c r="I20">
        <v>0</v>
      </c>
      <c r="J20">
        <v>1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2.2069141604617899E-5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6.2059425224605404E-4</v>
      </c>
      <c r="U20">
        <f>IF((ContinuousStatsTable[[#This Row],[RepsRequested]]&gt;1),ContinuousStatsTable[[#This Row],[HalfWidth]],ContinuousStatsTable[[#This Row],[BatchMeansHalfWidth]])</f>
        <v>1.5018604420562854E-4</v>
      </c>
    </row>
    <row r="21" spans="1:21" x14ac:dyDescent="0.3">
      <c r="A21" t="s">
        <v>66</v>
      </c>
      <c r="B21" t="s">
        <v>68</v>
      </c>
      <c r="C21">
        <v>2</v>
      </c>
      <c r="D21" t="s">
        <v>92</v>
      </c>
      <c r="E21" t="s">
        <v>86</v>
      </c>
      <c r="F21" t="s">
        <v>87</v>
      </c>
      <c r="G21">
        <v>0.20937243642484701</v>
      </c>
      <c r="H21">
        <v>2.2685424292862098E-2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0.17745123836948901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0.211848867954925</v>
      </c>
      <c r="U21">
        <f>IF((ContinuousStatsTable[[#This Row],[RepsRequested]]&gt;1),ContinuousStatsTable[[#This Row],[HalfWidth]],ContinuousStatsTable[[#This Row],[BatchMeansHalfWidth]])</f>
        <v>9.2063464017040682E-3</v>
      </c>
    </row>
    <row r="22" spans="1:21" x14ac:dyDescent="0.3">
      <c r="A22" t="s">
        <v>66</v>
      </c>
      <c r="B22" t="s">
        <v>68</v>
      </c>
      <c r="C22">
        <v>2</v>
      </c>
      <c r="D22" t="s">
        <v>92</v>
      </c>
      <c r="E22" t="s">
        <v>88</v>
      </c>
      <c r="F22" t="s">
        <v>87</v>
      </c>
      <c r="G22">
        <v>0.20937243642484701</v>
      </c>
      <c r="H22">
        <v>2.2685424292862098E-2</v>
      </c>
      <c r="I22">
        <v>0</v>
      </c>
      <c r="J22">
        <v>1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0.17745123836948901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0.211848867954925</v>
      </c>
      <c r="U22">
        <f>IF((ContinuousStatsTable[[#This Row],[RepsRequested]]&gt;1),ContinuousStatsTable[[#This Row],[HalfWidth]],ContinuousStatsTable[[#This Row],[BatchMeansHalfWidth]])</f>
        <v>9.2063464017040682E-3</v>
      </c>
    </row>
    <row r="23" spans="1:21" x14ac:dyDescent="0.3">
      <c r="A23" t="s">
        <v>66</v>
      </c>
      <c r="B23" t="s">
        <v>68</v>
      </c>
      <c r="C23">
        <v>2</v>
      </c>
      <c r="D23" t="s">
        <v>92</v>
      </c>
      <c r="E23" t="s">
        <v>89</v>
      </c>
      <c r="F23" t="s">
        <v>87</v>
      </c>
      <c r="G23">
        <v>1</v>
      </c>
      <c r="H23">
        <v>2E+20</v>
      </c>
      <c r="I23">
        <v>1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3">
      <c r="A24" t="s">
        <v>66</v>
      </c>
      <c r="B24" t="s">
        <v>68</v>
      </c>
      <c r="C24">
        <v>2</v>
      </c>
      <c r="D24" t="s">
        <v>81</v>
      </c>
      <c r="E24" t="s">
        <v>91</v>
      </c>
      <c r="F24" t="s">
        <v>79</v>
      </c>
      <c r="G24">
        <v>4.9905590146334996E-3</v>
      </c>
      <c r="H24">
        <v>2E+20</v>
      </c>
      <c r="I24">
        <v>0</v>
      </c>
      <c r="J24">
        <v>2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3.2120131992165002E-3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6.7743819151736204E-3</v>
      </c>
      <c r="U24">
        <f>IF((ContinuousStatsTable[[#This Row],[RepsRequested]]&gt;1),ContinuousStatsTable[[#This Row],[HalfWidth]],ContinuousStatsTable[[#This Row],[BatchMeansHalfWidth]])</f>
        <v>7.1074337464513838E-4</v>
      </c>
    </row>
    <row r="25" spans="1:21" x14ac:dyDescent="0.3">
      <c r="A25" t="s">
        <v>66</v>
      </c>
      <c r="B25" t="s">
        <v>68</v>
      </c>
      <c r="C25">
        <v>2</v>
      </c>
      <c r="D25" t="s">
        <v>82</v>
      </c>
      <c r="E25" t="s">
        <v>91</v>
      </c>
      <c r="F25" t="s">
        <v>79</v>
      </c>
      <c r="G25">
        <v>1.44859183909911E-3</v>
      </c>
      <c r="H25">
        <v>2E+20</v>
      </c>
      <c r="I25">
        <v>0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7.20972505524855E-4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2.83347119475641E-3</v>
      </c>
      <c r="U25">
        <f>IF((ContinuousStatsTable[[#This Row],[RepsRequested]]&gt;1),ContinuousStatsTable[[#This Row],[HalfWidth]],ContinuousStatsTable[[#This Row],[BatchMeansHalfWidth]])</f>
        <v>4.3057034897828515E-4</v>
      </c>
    </row>
    <row r="26" spans="1:21" x14ac:dyDescent="0.3">
      <c r="A26" t="s">
        <v>66</v>
      </c>
      <c r="B26" t="s">
        <v>68</v>
      </c>
      <c r="C26">
        <v>2</v>
      </c>
      <c r="D26" t="s">
        <v>83</v>
      </c>
      <c r="E26" t="s">
        <v>91</v>
      </c>
      <c r="F26" t="s">
        <v>79</v>
      </c>
      <c r="G26">
        <v>9.6572671051410499E-4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3.9608330686738202E-4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1.78688869193974E-3</v>
      </c>
      <c r="U26">
        <f>IF((ContinuousStatsTable[[#This Row],[RepsRequested]]&gt;1),ContinuousStatsTable[[#This Row],[HalfWidth]],ContinuousStatsTable[[#This Row],[BatchMeansHalfWidth]])</f>
        <v>2.8554515794241967E-4</v>
      </c>
    </row>
    <row r="27" spans="1:21" x14ac:dyDescent="0.3">
      <c r="A27" t="s">
        <v>66</v>
      </c>
      <c r="B27" t="s">
        <v>68</v>
      </c>
      <c r="C27">
        <v>2</v>
      </c>
      <c r="D27" t="s">
        <v>84</v>
      </c>
      <c r="E27" t="s">
        <v>91</v>
      </c>
      <c r="F27" t="s">
        <v>79</v>
      </c>
      <c r="G27">
        <v>1.3428614137158601E-3</v>
      </c>
      <c r="H27">
        <v>2E+20</v>
      </c>
      <c r="I27">
        <v>0</v>
      </c>
      <c r="J27">
        <v>1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1.9922591088506199E-4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1.8257956012972701E-3</v>
      </c>
      <c r="U27">
        <f>IF((ContinuousStatsTable[[#This Row],[RepsRequested]]&gt;1),ContinuousStatsTable[[#This Row],[HalfWidth]],ContinuousStatsTable[[#This Row],[BatchMeansHalfWidth]])</f>
        <v>3.2083970764496515E-4</v>
      </c>
    </row>
    <row r="28" spans="1:21" x14ac:dyDescent="0.3">
      <c r="A28" t="s">
        <v>66</v>
      </c>
      <c r="B28" t="s">
        <v>68</v>
      </c>
      <c r="C28">
        <v>3</v>
      </c>
      <c r="D28" t="s">
        <v>85</v>
      </c>
      <c r="E28" t="s">
        <v>86</v>
      </c>
      <c r="F28" t="s">
        <v>87</v>
      </c>
      <c r="G28">
        <v>0.777818399763752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0.71419407115187294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0.77930529942358095</v>
      </c>
      <c r="U28">
        <f>IF((ContinuousStatsTable[[#This Row],[RepsRequested]]&gt;1),ContinuousStatsTable[[#This Row],[HalfWidth]],ContinuousStatsTable[[#This Row],[BatchMeansHalfWidth]])</f>
        <v>1.6179738801761465E-2</v>
      </c>
    </row>
    <row r="29" spans="1:21" x14ac:dyDescent="0.3">
      <c r="A29" t="s">
        <v>66</v>
      </c>
      <c r="B29" t="s">
        <v>68</v>
      </c>
      <c r="C29">
        <v>3</v>
      </c>
      <c r="D29" t="s">
        <v>85</v>
      </c>
      <c r="E29" t="s">
        <v>88</v>
      </c>
      <c r="F29" t="s">
        <v>87</v>
      </c>
      <c r="G29">
        <v>0.777818399763752</v>
      </c>
      <c r="H29">
        <v>2E+20</v>
      </c>
      <c r="I29">
        <v>0</v>
      </c>
      <c r="J29">
        <v>1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0.71419407115187294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0.77930529942358095</v>
      </c>
      <c r="U29">
        <f>IF((ContinuousStatsTable[[#This Row],[RepsRequested]]&gt;1),ContinuousStatsTable[[#This Row],[HalfWidth]],ContinuousStatsTable[[#This Row],[BatchMeansHalfWidth]])</f>
        <v>1.6179738801761465E-2</v>
      </c>
    </row>
    <row r="30" spans="1:21" x14ac:dyDescent="0.3">
      <c r="A30" t="s">
        <v>66</v>
      </c>
      <c r="B30" t="s">
        <v>68</v>
      </c>
      <c r="C30">
        <v>3</v>
      </c>
      <c r="D30" t="s">
        <v>85</v>
      </c>
      <c r="E30" t="s">
        <v>89</v>
      </c>
      <c r="F30" t="s">
        <v>87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3</v>
      </c>
      <c r="D31" t="s">
        <v>69</v>
      </c>
      <c r="E31" t="s">
        <v>90</v>
      </c>
      <c r="F31" t="s">
        <v>71</v>
      </c>
      <c r="G31">
        <v>2.6250082791546498</v>
      </c>
      <c r="H31">
        <v>0.42859742616598001</v>
      </c>
      <c r="I31">
        <v>0</v>
      </c>
      <c r="J31">
        <v>10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2.2160183111888898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2.9760434619251201</v>
      </c>
      <c r="U31">
        <f>IF((ContinuousStatsTable[[#This Row],[RepsRequested]]&gt;1),ContinuousStatsTable[[#This Row],[HalfWidth]],ContinuousStatsTable[[#This Row],[BatchMeansHalfWidth]])</f>
        <v>0.18257334807025916</v>
      </c>
    </row>
    <row r="32" spans="1:21" x14ac:dyDescent="0.3">
      <c r="A32" t="s">
        <v>66</v>
      </c>
      <c r="B32" t="s">
        <v>68</v>
      </c>
      <c r="C32">
        <v>3</v>
      </c>
      <c r="D32" t="s">
        <v>77</v>
      </c>
      <c r="E32" t="s">
        <v>91</v>
      </c>
      <c r="F32" t="s">
        <v>79</v>
      </c>
      <c r="G32">
        <v>1.1868874743075299</v>
      </c>
      <c r="H32">
        <v>0.34219095243974401</v>
      </c>
      <c r="I32">
        <v>0</v>
      </c>
      <c r="J32">
        <v>8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0.89935067686704995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1.6405547501891999</v>
      </c>
      <c r="U32">
        <f>IF((ContinuousStatsTable[[#This Row],[RepsRequested]]&gt;1),ContinuousStatsTable[[#This Row],[HalfWidth]],ContinuousStatsTable[[#This Row],[BatchMeansHalfWidth]])</f>
        <v>0.17644718665595893</v>
      </c>
    </row>
    <row r="33" spans="1:21" x14ac:dyDescent="0.3">
      <c r="A33" t="s">
        <v>66</v>
      </c>
      <c r="B33" t="s">
        <v>68</v>
      </c>
      <c r="C33">
        <v>3</v>
      </c>
      <c r="D33" t="s">
        <v>80</v>
      </c>
      <c r="E33" t="s">
        <v>91</v>
      </c>
      <c r="F33" t="s">
        <v>79</v>
      </c>
      <c r="G33">
        <v>3.64177802805102E-4</v>
      </c>
      <c r="H33">
        <v>2E+20</v>
      </c>
      <c r="I33">
        <v>0</v>
      </c>
      <c r="J33">
        <v>1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2.2069141604617899E-5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6.2059425224605404E-4</v>
      </c>
      <c r="U33">
        <f>IF((ContinuousStatsTable[[#This Row],[RepsRequested]]&gt;1),ContinuousStatsTable[[#This Row],[HalfWidth]],ContinuousStatsTable[[#This Row],[BatchMeansHalfWidth]])</f>
        <v>1.5018604420562854E-4</v>
      </c>
    </row>
    <row r="34" spans="1:21" x14ac:dyDescent="0.3">
      <c r="A34" t="s">
        <v>66</v>
      </c>
      <c r="B34" t="s">
        <v>68</v>
      </c>
      <c r="C34">
        <v>3</v>
      </c>
      <c r="D34" t="s">
        <v>92</v>
      </c>
      <c r="E34" t="s">
        <v>86</v>
      </c>
      <c r="F34" t="s">
        <v>87</v>
      </c>
      <c r="G34">
        <v>0.205747048887229</v>
      </c>
      <c r="H34">
        <v>2.8700647169569601E-2</v>
      </c>
      <c r="I34">
        <v>0</v>
      </c>
      <c r="J34">
        <v>1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0.17745123836948901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0.211848867954925</v>
      </c>
      <c r="U34">
        <f>IF((ContinuousStatsTable[[#This Row],[RepsRequested]]&gt;1),ContinuousStatsTable[[#This Row],[HalfWidth]],ContinuousStatsTable[[#This Row],[BatchMeansHalfWidth]])</f>
        <v>9.2063464017040682E-3</v>
      </c>
    </row>
    <row r="35" spans="1:21" x14ac:dyDescent="0.3">
      <c r="A35" t="s">
        <v>66</v>
      </c>
      <c r="B35" t="s">
        <v>68</v>
      </c>
      <c r="C35">
        <v>3</v>
      </c>
      <c r="D35" t="s">
        <v>92</v>
      </c>
      <c r="E35" t="s">
        <v>88</v>
      </c>
      <c r="F35" t="s">
        <v>87</v>
      </c>
      <c r="G35">
        <v>0.205747048887229</v>
      </c>
      <c r="H35">
        <v>2.8700647169569601E-2</v>
      </c>
      <c r="I35">
        <v>0</v>
      </c>
      <c r="J35">
        <v>1</v>
      </c>
      <c r="K35">
        <v>0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0.17745123836948901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0.211848867954925</v>
      </c>
      <c r="U35">
        <f>IF((ContinuousStatsTable[[#This Row],[RepsRequested]]&gt;1),ContinuousStatsTable[[#This Row],[HalfWidth]],ContinuousStatsTable[[#This Row],[BatchMeansHalfWidth]])</f>
        <v>9.2063464017040682E-3</v>
      </c>
    </row>
    <row r="36" spans="1:21" x14ac:dyDescent="0.3">
      <c r="A36" t="s">
        <v>66</v>
      </c>
      <c r="B36" t="s">
        <v>68</v>
      </c>
      <c r="C36">
        <v>3</v>
      </c>
      <c r="D36" t="s">
        <v>92</v>
      </c>
      <c r="E36" t="s">
        <v>89</v>
      </c>
      <c r="F36" t="s">
        <v>87</v>
      </c>
      <c r="G36">
        <v>1</v>
      </c>
      <c r="H36">
        <v>2E+20</v>
      </c>
      <c r="I36">
        <v>1</v>
      </c>
      <c r="J36">
        <v>1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1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1</v>
      </c>
      <c r="U36">
        <f>IF((ContinuousStatsTable[[#This Row],[RepsRequested]]&gt;1),ContinuousStatsTable[[#This Row],[HalfWidth]],ContinuousStatsTable[[#This Row],[BatchMeansHalfWidth]])</f>
        <v>0</v>
      </c>
    </row>
    <row r="37" spans="1:21" x14ac:dyDescent="0.3">
      <c r="A37" t="s">
        <v>66</v>
      </c>
      <c r="B37" t="s">
        <v>68</v>
      </c>
      <c r="C37">
        <v>3</v>
      </c>
      <c r="D37" t="s">
        <v>81</v>
      </c>
      <c r="E37" t="s">
        <v>91</v>
      </c>
      <c r="F37" t="s">
        <v>79</v>
      </c>
      <c r="G37">
        <v>6.7743819151736204E-3</v>
      </c>
      <c r="H37">
        <v>2E+20</v>
      </c>
      <c r="I37">
        <v>0</v>
      </c>
      <c r="J37">
        <v>2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3.2120131992165002E-3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6.7743819151736204E-3</v>
      </c>
      <c r="U37">
        <f>IF((ContinuousStatsTable[[#This Row],[RepsRequested]]&gt;1),ContinuousStatsTable[[#This Row],[HalfWidth]],ContinuousStatsTable[[#This Row],[BatchMeansHalfWidth]])</f>
        <v>7.1074337464513838E-4</v>
      </c>
    </row>
    <row r="38" spans="1:21" x14ac:dyDescent="0.3">
      <c r="A38" t="s">
        <v>66</v>
      </c>
      <c r="B38" t="s">
        <v>68</v>
      </c>
      <c r="C38">
        <v>3</v>
      </c>
      <c r="D38" t="s">
        <v>82</v>
      </c>
      <c r="E38" t="s">
        <v>91</v>
      </c>
      <c r="F38" t="s">
        <v>79</v>
      </c>
      <c r="G38">
        <v>1.7565891270079699E-3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7.20972505524855E-4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2.83347119475641E-3</v>
      </c>
      <c r="U38">
        <f>IF((ContinuousStatsTable[[#This Row],[RepsRequested]]&gt;1),ContinuousStatsTable[[#This Row],[HalfWidth]],ContinuousStatsTable[[#This Row],[BatchMeansHalfWidth]])</f>
        <v>4.3057034897828515E-4</v>
      </c>
    </row>
    <row r="39" spans="1:21" x14ac:dyDescent="0.3">
      <c r="A39" t="s">
        <v>66</v>
      </c>
      <c r="B39" t="s">
        <v>68</v>
      </c>
      <c r="C39">
        <v>3</v>
      </c>
      <c r="D39" t="s">
        <v>83</v>
      </c>
      <c r="E39" t="s">
        <v>91</v>
      </c>
      <c r="F39" t="s">
        <v>79</v>
      </c>
      <c r="G39">
        <v>1.1989911445316199E-3</v>
      </c>
      <c r="H39">
        <v>2E+20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3.9608330686738202E-4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1.78688869193974E-3</v>
      </c>
      <c r="U39">
        <f>IF((ContinuousStatsTable[[#This Row],[RepsRequested]]&gt;1),ContinuousStatsTable[[#This Row],[HalfWidth]],ContinuousStatsTable[[#This Row],[BatchMeansHalfWidth]])</f>
        <v>2.8554515794241967E-4</v>
      </c>
    </row>
    <row r="40" spans="1:21" x14ac:dyDescent="0.3">
      <c r="A40" t="s">
        <v>66</v>
      </c>
      <c r="B40" t="s">
        <v>68</v>
      </c>
      <c r="C40">
        <v>3</v>
      </c>
      <c r="D40" t="s">
        <v>84</v>
      </c>
      <c r="E40" t="s">
        <v>91</v>
      </c>
      <c r="F40" t="s">
        <v>79</v>
      </c>
      <c r="G40">
        <v>1.35704953992013E-3</v>
      </c>
      <c r="H40">
        <v>2E+20</v>
      </c>
      <c r="I40">
        <v>0</v>
      </c>
      <c r="J40">
        <v>1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1.9922591088506199E-4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1.8257956012972701E-3</v>
      </c>
      <c r="U40">
        <f>IF((ContinuousStatsTable[[#This Row],[RepsRequested]]&gt;1),ContinuousStatsTable[[#This Row],[HalfWidth]],ContinuousStatsTable[[#This Row],[BatchMeansHalfWidth]])</f>
        <v>3.2083970764496515E-4</v>
      </c>
    </row>
    <row r="41" spans="1:21" x14ac:dyDescent="0.3">
      <c r="A41" t="s">
        <v>66</v>
      </c>
      <c r="B41" t="s">
        <v>68</v>
      </c>
      <c r="C41">
        <v>4</v>
      </c>
      <c r="D41" t="s">
        <v>85</v>
      </c>
      <c r="E41" t="s">
        <v>86</v>
      </c>
      <c r="F41" t="s">
        <v>87</v>
      </c>
      <c r="G41">
        <v>0.76672532734546595</v>
      </c>
      <c r="H41">
        <v>2E+20</v>
      </c>
      <c r="I41">
        <v>0</v>
      </c>
      <c r="J41">
        <v>1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0.71419407115187294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0.77930529942358095</v>
      </c>
      <c r="U41">
        <f>IF((ContinuousStatsTable[[#This Row],[RepsRequested]]&gt;1),ContinuousStatsTable[[#This Row],[HalfWidth]],ContinuousStatsTable[[#This Row],[BatchMeansHalfWidth]])</f>
        <v>1.6179738801761465E-2</v>
      </c>
    </row>
    <row r="42" spans="1:21" x14ac:dyDescent="0.3">
      <c r="A42" t="s">
        <v>66</v>
      </c>
      <c r="B42" t="s">
        <v>68</v>
      </c>
      <c r="C42">
        <v>4</v>
      </c>
      <c r="D42" t="s">
        <v>85</v>
      </c>
      <c r="E42" t="s">
        <v>88</v>
      </c>
      <c r="F42" t="s">
        <v>87</v>
      </c>
      <c r="G42">
        <v>0.76672532734546595</v>
      </c>
      <c r="H42">
        <v>2E+20</v>
      </c>
      <c r="I42">
        <v>0</v>
      </c>
      <c r="J42">
        <v>1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0.71419407115187294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0.77930529942358095</v>
      </c>
      <c r="U42">
        <f>IF((ContinuousStatsTable[[#This Row],[RepsRequested]]&gt;1),ContinuousStatsTable[[#This Row],[HalfWidth]],ContinuousStatsTable[[#This Row],[BatchMeansHalfWidth]])</f>
        <v>1.6179738801761465E-2</v>
      </c>
    </row>
    <row r="43" spans="1:21" x14ac:dyDescent="0.3">
      <c r="A43" t="s">
        <v>66</v>
      </c>
      <c r="B43" t="s">
        <v>68</v>
      </c>
      <c r="C43">
        <v>4</v>
      </c>
      <c r="D43" t="s">
        <v>85</v>
      </c>
      <c r="E43" t="s">
        <v>89</v>
      </c>
      <c r="F43" t="s">
        <v>87</v>
      </c>
      <c r="G43">
        <v>1</v>
      </c>
      <c r="H43">
        <v>2E+20</v>
      </c>
      <c r="I43">
        <v>1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1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1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1</v>
      </c>
      <c r="U43">
        <f>IF((ContinuousStatsTable[[#This Row],[RepsRequested]]&gt;1),ContinuousStatsTable[[#This Row],[HalfWidth]],ContinuousStatsTable[[#This Row],[BatchMeansHalfWidth]])</f>
        <v>0</v>
      </c>
    </row>
    <row r="44" spans="1:21" x14ac:dyDescent="0.3">
      <c r="A44" t="s">
        <v>66</v>
      </c>
      <c r="B44" t="s">
        <v>68</v>
      </c>
      <c r="C44">
        <v>4</v>
      </c>
      <c r="D44" t="s">
        <v>69</v>
      </c>
      <c r="E44" t="s">
        <v>90</v>
      </c>
      <c r="F44" t="s">
        <v>71</v>
      </c>
      <c r="G44">
        <v>2.7355958779275</v>
      </c>
      <c r="H44">
        <v>3E+20</v>
      </c>
      <c r="I44">
        <v>0</v>
      </c>
      <c r="J44">
        <v>11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2.2160183111888898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2.9760434619251201</v>
      </c>
      <c r="U44">
        <f>IF((ContinuousStatsTable[[#This Row],[RepsRequested]]&gt;1),ContinuousStatsTable[[#This Row],[HalfWidth]],ContinuousStatsTable[[#This Row],[BatchMeansHalfWidth]])</f>
        <v>0.18257334807025916</v>
      </c>
    </row>
    <row r="45" spans="1:21" x14ac:dyDescent="0.3">
      <c r="A45" t="s">
        <v>66</v>
      </c>
      <c r="B45" t="s">
        <v>68</v>
      </c>
      <c r="C45">
        <v>4</v>
      </c>
      <c r="D45" t="s">
        <v>77</v>
      </c>
      <c r="E45" t="s">
        <v>91</v>
      </c>
      <c r="F45" t="s">
        <v>79</v>
      </c>
      <c r="G45">
        <v>1.3323863953564501</v>
      </c>
      <c r="H45">
        <v>3E+20</v>
      </c>
      <c r="I45">
        <v>0</v>
      </c>
      <c r="J45">
        <v>9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0.89935067686704995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1.6405547501891999</v>
      </c>
      <c r="U45">
        <f>IF((ContinuousStatsTable[[#This Row],[RepsRequested]]&gt;1),ContinuousStatsTable[[#This Row],[HalfWidth]],ContinuousStatsTable[[#This Row],[BatchMeansHalfWidth]])</f>
        <v>0.17644718665595893</v>
      </c>
    </row>
    <row r="46" spans="1:21" x14ac:dyDescent="0.3">
      <c r="A46" t="s">
        <v>66</v>
      </c>
      <c r="B46" t="s">
        <v>68</v>
      </c>
      <c r="C46">
        <v>4</v>
      </c>
      <c r="D46" t="s">
        <v>80</v>
      </c>
      <c r="E46" t="s">
        <v>91</v>
      </c>
      <c r="F46" t="s">
        <v>79</v>
      </c>
      <c r="G46">
        <v>2.5015520425796699E-4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2.2069141604617899E-5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6.2059425224605404E-4</v>
      </c>
      <c r="U46">
        <f>IF((ContinuousStatsTable[[#This Row],[RepsRequested]]&gt;1),ContinuousStatsTable[[#This Row],[HalfWidth]],ContinuousStatsTable[[#This Row],[BatchMeansHalfWidth]])</f>
        <v>1.5018604420562854E-4</v>
      </c>
    </row>
    <row r="47" spans="1:21" x14ac:dyDescent="0.3">
      <c r="A47" t="s">
        <v>66</v>
      </c>
      <c r="B47" t="s">
        <v>68</v>
      </c>
      <c r="C47">
        <v>4</v>
      </c>
      <c r="D47" t="s">
        <v>92</v>
      </c>
      <c r="E47" t="s">
        <v>86</v>
      </c>
      <c r="F47" t="s">
        <v>87</v>
      </c>
      <c r="G47">
        <v>0.190863569025468</v>
      </c>
      <c r="H47">
        <v>2.8930087617489799E-2</v>
      </c>
      <c r="I47">
        <v>0</v>
      </c>
      <c r="J47">
        <v>1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0.17745123836948901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0.211848867954925</v>
      </c>
      <c r="U47">
        <f>IF((ContinuousStatsTable[[#This Row],[RepsRequested]]&gt;1),ContinuousStatsTable[[#This Row],[HalfWidth]],ContinuousStatsTable[[#This Row],[BatchMeansHalfWidth]])</f>
        <v>9.2063464017040682E-3</v>
      </c>
    </row>
    <row r="48" spans="1:21" x14ac:dyDescent="0.3">
      <c r="A48" t="s">
        <v>66</v>
      </c>
      <c r="B48" t="s">
        <v>68</v>
      </c>
      <c r="C48">
        <v>4</v>
      </c>
      <c r="D48" t="s">
        <v>92</v>
      </c>
      <c r="E48" t="s">
        <v>88</v>
      </c>
      <c r="F48" t="s">
        <v>87</v>
      </c>
      <c r="G48">
        <v>0.190863569025468</v>
      </c>
      <c r="H48">
        <v>2.8930087617489799E-2</v>
      </c>
      <c r="I48">
        <v>0</v>
      </c>
      <c r="J48">
        <v>1</v>
      </c>
      <c r="K48">
        <v>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0.17745123836948901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0.211848867954925</v>
      </c>
      <c r="U48">
        <f>IF((ContinuousStatsTable[[#This Row],[RepsRequested]]&gt;1),ContinuousStatsTable[[#This Row],[HalfWidth]],ContinuousStatsTable[[#This Row],[BatchMeansHalfWidth]])</f>
        <v>9.2063464017040682E-3</v>
      </c>
    </row>
    <row r="49" spans="1:21" x14ac:dyDescent="0.3">
      <c r="A49" t="s">
        <v>66</v>
      </c>
      <c r="B49" t="s">
        <v>68</v>
      </c>
      <c r="C49">
        <v>4</v>
      </c>
      <c r="D49" t="s">
        <v>92</v>
      </c>
      <c r="E49" t="s">
        <v>89</v>
      </c>
      <c r="F49" t="s">
        <v>87</v>
      </c>
      <c r="G49">
        <v>1</v>
      </c>
      <c r="H49">
        <v>2E+20</v>
      </c>
      <c r="I49">
        <v>1</v>
      </c>
      <c r="J49">
        <v>1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1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3">
      <c r="A50" t="s">
        <v>66</v>
      </c>
      <c r="B50" t="s">
        <v>68</v>
      </c>
      <c r="C50">
        <v>4</v>
      </c>
      <c r="D50" t="s">
        <v>81</v>
      </c>
      <c r="E50" t="s">
        <v>91</v>
      </c>
      <c r="F50" t="s">
        <v>79</v>
      </c>
      <c r="G50">
        <v>4.4590956738022498E-3</v>
      </c>
      <c r="H50">
        <v>2E+20</v>
      </c>
      <c r="I50">
        <v>0</v>
      </c>
      <c r="J50">
        <v>2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3.2120131992165002E-3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6.7743819151736204E-3</v>
      </c>
      <c r="U50">
        <f>IF((ContinuousStatsTable[[#This Row],[RepsRequested]]&gt;1),ContinuousStatsTable[[#This Row],[HalfWidth]],ContinuousStatsTable[[#This Row],[BatchMeansHalfWidth]])</f>
        <v>7.1074337464513838E-4</v>
      </c>
    </row>
    <row r="51" spans="1:21" x14ac:dyDescent="0.3">
      <c r="A51" t="s">
        <v>66</v>
      </c>
      <c r="B51" t="s">
        <v>68</v>
      </c>
      <c r="C51">
        <v>4</v>
      </c>
      <c r="D51" t="s">
        <v>82</v>
      </c>
      <c r="E51" t="s">
        <v>91</v>
      </c>
      <c r="F51" t="s">
        <v>79</v>
      </c>
      <c r="G51">
        <v>2.83347119475641E-3</v>
      </c>
      <c r="H51">
        <v>2E+20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7.20972505524855E-4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2.83347119475641E-3</v>
      </c>
      <c r="U51">
        <f>IF((ContinuousStatsTable[[#This Row],[RepsRequested]]&gt;1),ContinuousStatsTable[[#This Row],[HalfWidth]],ContinuousStatsTable[[#This Row],[BatchMeansHalfWidth]])</f>
        <v>4.3057034897828515E-4</v>
      </c>
    </row>
    <row r="52" spans="1:21" x14ac:dyDescent="0.3">
      <c r="A52" t="s">
        <v>66</v>
      </c>
      <c r="B52" t="s">
        <v>68</v>
      </c>
      <c r="C52">
        <v>4</v>
      </c>
      <c r="D52" t="s">
        <v>83</v>
      </c>
      <c r="E52" t="s">
        <v>91</v>
      </c>
      <c r="F52" t="s">
        <v>79</v>
      </c>
      <c r="G52">
        <v>3.9608330686738202E-4</v>
      </c>
      <c r="H52">
        <v>2E+20</v>
      </c>
      <c r="I52">
        <v>0</v>
      </c>
      <c r="J52">
        <v>1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3.9608330686738202E-4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1.78688869193974E-3</v>
      </c>
      <c r="U52">
        <f>IF((ContinuousStatsTable[[#This Row],[RepsRequested]]&gt;1),ContinuousStatsTable[[#This Row],[HalfWidth]],ContinuousStatsTable[[#This Row],[BatchMeansHalfWidth]])</f>
        <v>2.8554515794241967E-4</v>
      </c>
    </row>
    <row r="53" spans="1:21" x14ac:dyDescent="0.3">
      <c r="A53" t="s">
        <v>66</v>
      </c>
      <c r="B53" t="s">
        <v>68</v>
      </c>
      <c r="C53">
        <v>4</v>
      </c>
      <c r="D53" t="s">
        <v>84</v>
      </c>
      <c r="E53" t="s">
        <v>91</v>
      </c>
      <c r="F53" t="s">
        <v>79</v>
      </c>
      <c r="G53">
        <v>1.0567808203975301E-3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1.9922591088506199E-4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1.8257956012972701E-3</v>
      </c>
      <c r="U53">
        <f>IF((ContinuousStatsTable[[#This Row],[RepsRequested]]&gt;1),ContinuousStatsTable[[#This Row],[HalfWidth]],ContinuousStatsTable[[#This Row],[BatchMeansHalfWidth]])</f>
        <v>3.2083970764496515E-4</v>
      </c>
    </row>
    <row r="54" spans="1:21" x14ac:dyDescent="0.3">
      <c r="A54" t="s">
        <v>66</v>
      </c>
      <c r="B54" t="s">
        <v>68</v>
      </c>
      <c r="C54">
        <v>5</v>
      </c>
      <c r="D54" t="s">
        <v>85</v>
      </c>
      <c r="E54" t="s">
        <v>86</v>
      </c>
      <c r="F54" t="s">
        <v>87</v>
      </c>
      <c r="G54">
        <v>0.75159746343030698</v>
      </c>
      <c r="H54">
        <v>2E+20</v>
      </c>
      <c r="I54">
        <v>0</v>
      </c>
      <c r="J54">
        <v>1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0.71419407115187294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0.77930529942358095</v>
      </c>
      <c r="U54">
        <f>IF((ContinuousStatsTable[[#This Row],[RepsRequested]]&gt;1),ContinuousStatsTable[[#This Row],[HalfWidth]],ContinuousStatsTable[[#This Row],[BatchMeansHalfWidth]])</f>
        <v>1.6179738801761465E-2</v>
      </c>
    </row>
    <row r="55" spans="1:21" x14ac:dyDescent="0.3">
      <c r="A55" t="s">
        <v>66</v>
      </c>
      <c r="B55" t="s">
        <v>68</v>
      </c>
      <c r="C55">
        <v>5</v>
      </c>
      <c r="D55" t="s">
        <v>85</v>
      </c>
      <c r="E55" t="s">
        <v>88</v>
      </c>
      <c r="F55" t="s">
        <v>87</v>
      </c>
      <c r="G55">
        <v>0.75159746343030698</v>
      </c>
      <c r="H55">
        <v>2E+20</v>
      </c>
      <c r="I55">
        <v>0</v>
      </c>
      <c r="J55">
        <v>1</v>
      </c>
      <c r="K55">
        <v>0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0.71419407115187294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0.77930529942358095</v>
      </c>
      <c r="U55">
        <f>IF((ContinuousStatsTable[[#This Row],[RepsRequested]]&gt;1),ContinuousStatsTable[[#This Row],[HalfWidth]],ContinuousStatsTable[[#This Row],[BatchMeansHalfWidth]])</f>
        <v>1.6179738801761465E-2</v>
      </c>
    </row>
    <row r="56" spans="1:21" x14ac:dyDescent="0.3">
      <c r="A56" t="s">
        <v>66</v>
      </c>
      <c r="B56" t="s">
        <v>68</v>
      </c>
      <c r="C56">
        <v>5</v>
      </c>
      <c r="D56" t="s">
        <v>85</v>
      </c>
      <c r="E56" t="s">
        <v>89</v>
      </c>
      <c r="F56" t="s">
        <v>87</v>
      </c>
      <c r="G56">
        <v>1</v>
      </c>
      <c r="H56">
        <v>2E+20</v>
      </c>
      <c r="I56">
        <v>1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1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1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1</v>
      </c>
      <c r="U56">
        <f>IF((ContinuousStatsTable[[#This Row],[RepsRequested]]&gt;1),ContinuousStatsTable[[#This Row],[HalfWidth]],ContinuousStatsTable[[#This Row],[BatchMeansHalfWidth]])</f>
        <v>0</v>
      </c>
    </row>
    <row r="57" spans="1:21" x14ac:dyDescent="0.3">
      <c r="A57" t="s">
        <v>66</v>
      </c>
      <c r="B57" t="s">
        <v>68</v>
      </c>
      <c r="C57">
        <v>5</v>
      </c>
      <c r="D57" t="s">
        <v>69</v>
      </c>
      <c r="E57" t="s">
        <v>90</v>
      </c>
      <c r="F57" t="s">
        <v>71</v>
      </c>
      <c r="G57">
        <v>2.5547178488536502</v>
      </c>
      <c r="H57">
        <v>3E+20</v>
      </c>
      <c r="I57">
        <v>0</v>
      </c>
      <c r="J57">
        <v>16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2.2160183111888898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2.9760434619251201</v>
      </c>
      <c r="U57">
        <f>IF((ContinuousStatsTable[[#This Row],[RepsRequested]]&gt;1),ContinuousStatsTable[[#This Row],[HalfWidth]],ContinuousStatsTable[[#This Row],[BatchMeansHalfWidth]])</f>
        <v>0.18257334807025916</v>
      </c>
    </row>
    <row r="58" spans="1:21" x14ac:dyDescent="0.3">
      <c r="A58" t="s">
        <v>66</v>
      </c>
      <c r="B58" t="s">
        <v>68</v>
      </c>
      <c r="C58">
        <v>5</v>
      </c>
      <c r="D58" t="s">
        <v>77</v>
      </c>
      <c r="E58" t="s">
        <v>91</v>
      </c>
      <c r="F58" t="s">
        <v>79</v>
      </c>
      <c r="G58">
        <v>1.1501508077665401</v>
      </c>
      <c r="H58">
        <v>3E+20</v>
      </c>
      <c r="I58">
        <v>0</v>
      </c>
      <c r="J58">
        <v>13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0.89935067686704995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1.6405547501891999</v>
      </c>
      <c r="U58">
        <f>IF((ContinuousStatsTable[[#This Row],[RepsRequested]]&gt;1),ContinuousStatsTable[[#This Row],[HalfWidth]],ContinuousStatsTable[[#This Row],[BatchMeansHalfWidth]])</f>
        <v>0.17644718665595893</v>
      </c>
    </row>
    <row r="59" spans="1:21" x14ac:dyDescent="0.3">
      <c r="A59" t="s">
        <v>66</v>
      </c>
      <c r="B59" t="s">
        <v>68</v>
      </c>
      <c r="C59">
        <v>5</v>
      </c>
      <c r="D59" t="s">
        <v>80</v>
      </c>
      <c r="E59" t="s">
        <v>91</v>
      </c>
      <c r="F59" t="s">
        <v>79</v>
      </c>
      <c r="G59">
        <v>6.2059425224605404E-4</v>
      </c>
      <c r="H59">
        <v>2E+20</v>
      </c>
      <c r="I59">
        <v>0</v>
      </c>
      <c r="J59">
        <v>1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2.2069141604617899E-5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6.2059425224605404E-4</v>
      </c>
      <c r="U59">
        <f>IF((ContinuousStatsTable[[#This Row],[RepsRequested]]&gt;1),ContinuousStatsTable[[#This Row],[HalfWidth]],ContinuousStatsTable[[#This Row],[BatchMeansHalfWidth]])</f>
        <v>1.5018604420562854E-4</v>
      </c>
    </row>
    <row r="60" spans="1:21" x14ac:dyDescent="0.3">
      <c r="A60" t="s">
        <v>66</v>
      </c>
      <c r="B60" t="s">
        <v>68</v>
      </c>
      <c r="C60">
        <v>5</v>
      </c>
      <c r="D60" t="s">
        <v>92</v>
      </c>
      <c r="E60" t="s">
        <v>86</v>
      </c>
      <c r="F60" t="s">
        <v>87</v>
      </c>
      <c r="G60">
        <v>0.21123497165778701</v>
      </c>
      <c r="H60">
        <v>3.5524137648065897E-2</v>
      </c>
      <c r="I60">
        <v>0</v>
      </c>
      <c r="J60">
        <v>1</v>
      </c>
      <c r="K60">
        <v>0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0.17745123836948901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0.211848867954925</v>
      </c>
      <c r="U60">
        <f>IF((ContinuousStatsTable[[#This Row],[RepsRequested]]&gt;1),ContinuousStatsTable[[#This Row],[HalfWidth]],ContinuousStatsTable[[#This Row],[BatchMeansHalfWidth]])</f>
        <v>9.2063464017040682E-3</v>
      </c>
    </row>
    <row r="61" spans="1:21" x14ac:dyDescent="0.3">
      <c r="A61" t="s">
        <v>66</v>
      </c>
      <c r="B61" t="s">
        <v>68</v>
      </c>
      <c r="C61">
        <v>5</v>
      </c>
      <c r="D61" t="s">
        <v>92</v>
      </c>
      <c r="E61" t="s">
        <v>88</v>
      </c>
      <c r="F61" t="s">
        <v>87</v>
      </c>
      <c r="G61">
        <v>0.21123497165778701</v>
      </c>
      <c r="H61">
        <v>3.5524137648065897E-2</v>
      </c>
      <c r="I61">
        <v>0</v>
      </c>
      <c r="J61">
        <v>1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0.17745123836948901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0.211848867954925</v>
      </c>
      <c r="U61">
        <f>IF((ContinuousStatsTable[[#This Row],[RepsRequested]]&gt;1),ContinuousStatsTable[[#This Row],[HalfWidth]],ContinuousStatsTable[[#This Row],[BatchMeansHalfWidth]])</f>
        <v>9.2063464017040682E-3</v>
      </c>
    </row>
    <row r="62" spans="1:21" x14ac:dyDescent="0.3">
      <c r="A62" t="s">
        <v>66</v>
      </c>
      <c r="B62" t="s">
        <v>68</v>
      </c>
      <c r="C62">
        <v>5</v>
      </c>
      <c r="D62" t="s">
        <v>92</v>
      </c>
      <c r="E62" t="s">
        <v>89</v>
      </c>
      <c r="F62" t="s">
        <v>87</v>
      </c>
      <c r="G62">
        <v>1</v>
      </c>
      <c r="H62">
        <v>2E+20</v>
      </c>
      <c r="I62">
        <v>1</v>
      </c>
      <c r="J62">
        <v>1</v>
      </c>
      <c r="K62">
        <v>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3">
      <c r="A63" t="s">
        <v>66</v>
      </c>
      <c r="B63" t="s">
        <v>68</v>
      </c>
      <c r="C63">
        <v>5</v>
      </c>
      <c r="D63" t="s">
        <v>81</v>
      </c>
      <c r="E63" t="s">
        <v>91</v>
      </c>
      <c r="F63" t="s">
        <v>79</v>
      </c>
      <c r="G63">
        <v>3.9495059241552903E-3</v>
      </c>
      <c r="H63">
        <v>2E+20</v>
      </c>
      <c r="I63">
        <v>0</v>
      </c>
      <c r="J63">
        <v>2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3.2120131992165002E-3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6.7743819151736204E-3</v>
      </c>
      <c r="U63">
        <f>IF((ContinuousStatsTable[[#This Row],[RepsRequested]]&gt;1),ContinuousStatsTable[[#This Row],[HalfWidth]],ContinuousStatsTable[[#This Row],[BatchMeansHalfWidth]])</f>
        <v>7.1074337464513838E-4</v>
      </c>
    </row>
    <row r="64" spans="1:21" x14ac:dyDescent="0.3">
      <c r="A64" t="s">
        <v>66</v>
      </c>
      <c r="B64" t="s">
        <v>68</v>
      </c>
      <c r="C64">
        <v>5</v>
      </c>
      <c r="D64" t="s">
        <v>82</v>
      </c>
      <c r="E64" t="s">
        <v>91</v>
      </c>
      <c r="F64" t="s">
        <v>79</v>
      </c>
      <c r="G64">
        <v>9.0309102424266697E-4</v>
      </c>
      <c r="H64">
        <v>2E+20</v>
      </c>
      <c r="I64">
        <v>0</v>
      </c>
      <c r="J64">
        <v>1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7.20972505524855E-4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2.83347119475641E-3</v>
      </c>
      <c r="U64">
        <f>IF((ContinuousStatsTable[[#This Row],[RepsRequested]]&gt;1),ContinuousStatsTable[[#This Row],[HalfWidth]],ContinuousStatsTable[[#This Row],[BatchMeansHalfWidth]])</f>
        <v>4.3057034897828515E-4</v>
      </c>
    </row>
    <row r="65" spans="1:21" x14ac:dyDescent="0.3">
      <c r="A65" t="s">
        <v>66</v>
      </c>
      <c r="B65" t="s">
        <v>68</v>
      </c>
      <c r="C65">
        <v>5</v>
      </c>
      <c r="D65" t="s">
        <v>83</v>
      </c>
      <c r="E65" t="s">
        <v>91</v>
      </c>
      <c r="F65" t="s">
        <v>79</v>
      </c>
      <c r="G65">
        <v>1.2378018892421801E-3</v>
      </c>
      <c r="H65">
        <v>2E+20</v>
      </c>
      <c r="I65">
        <v>0</v>
      </c>
      <c r="J65">
        <v>1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3.9608330686738202E-4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1.78688869193974E-3</v>
      </c>
      <c r="U65">
        <f>IF((ContinuousStatsTable[[#This Row],[RepsRequested]]&gt;1),ContinuousStatsTable[[#This Row],[HalfWidth]],ContinuousStatsTable[[#This Row],[BatchMeansHalfWidth]])</f>
        <v>2.8554515794241967E-4</v>
      </c>
    </row>
    <row r="66" spans="1:21" x14ac:dyDescent="0.3">
      <c r="A66" t="s">
        <v>66</v>
      </c>
      <c r="B66" t="s">
        <v>68</v>
      </c>
      <c r="C66">
        <v>5</v>
      </c>
      <c r="D66" t="s">
        <v>84</v>
      </c>
      <c r="E66" t="s">
        <v>91</v>
      </c>
      <c r="F66" t="s">
        <v>79</v>
      </c>
      <c r="G66">
        <v>1.3777795757689E-3</v>
      </c>
      <c r="H66">
        <v>2E+20</v>
      </c>
      <c r="I66">
        <v>0</v>
      </c>
      <c r="J66">
        <v>1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1.9922591088506199E-4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1.8257956012972701E-3</v>
      </c>
      <c r="U66">
        <f>IF((ContinuousStatsTable[[#This Row],[RepsRequested]]&gt;1),ContinuousStatsTable[[#This Row],[HalfWidth]],ContinuousStatsTable[[#This Row],[BatchMeansHalfWidth]])</f>
        <v>3.2083970764496515E-4</v>
      </c>
    </row>
    <row r="67" spans="1:21" x14ac:dyDescent="0.3">
      <c r="A67" t="s">
        <v>66</v>
      </c>
      <c r="B67" t="s">
        <v>68</v>
      </c>
      <c r="C67">
        <v>6</v>
      </c>
      <c r="D67" t="s">
        <v>85</v>
      </c>
      <c r="E67" t="s">
        <v>86</v>
      </c>
      <c r="F67" t="s">
        <v>87</v>
      </c>
      <c r="G67">
        <v>0.73109963996995297</v>
      </c>
      <c r="H67">
        <v>2E+20</v>
      </c>
      <c r="I67">
        <v>0</v>
      </c>
      <c r="J67">
        <v>1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0.71419407115187294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0.77930529942358095</v>
      </c>
      <c r="U67">
        <f>IF((ContinuousStatsTable[[#This Row],[RepsRequested]]&gt;1),ContinuousStatsTable[[#This Row],[HalfWidth]],ContinuousStatsTable[[#This Row],[BatchMeansHalfWidth]])</f>
        <v>1.6179738801761465E-2</v>
      </c>
    </row>
    <row r="68" spans="1:21" x14ac:dyDescent="0.3">
      <c r="A68" t="s">
        <v>66</v>
      </c>
      <c r="B68" t="s">
        <v>68</v>
      </c>
      <c r="C68">
        <v>6</v>
      </c>
      <c r="D68" t="s">
        <v>85</v>
      </c>
      <c r="E68" t="s">
        <v>88</v>
      </c>
      <c r="F68" t="s">
        <v>87</v>
      </c>
      <c r="G68">
        <v>0.73109963996995297</v>
      </c>
      <c r="H68">
        <v>2E+20</v>
      </c>
      <c r="I68">
        <v>0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0.71419407115187294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0.77930529942358095</v>
      </c>
      <c r="U68">
        <f>IF((ContinuousStatsTable[[#This Row],[RepsRequested]]&gt;1),ContinuousStatsTable[[#This Row],[HalfWidth]],ContinuousStatsTable[[#This Row],[BatchMeansHalfWidth]])</f>
        <v>1.6179738801761465E-2</v>
      </c>
    </row>
    <row r="69" spans="1:21" x14ac:dyDescent="0.3">
      <c r="A69" t="s">
        <v>66</v>
      </c>
      <c r="B69" t="s">
        <v>68</v>
      </c>
      <c r="C69">
        <v>6</v>
      </c>
      <c r="D69" t="s">
        <v>85</v>
      </c>
      <c r="E69" t="s">
        <v>89</v>
      </c>
      <c r="F69" t="s">
        <v>87</v>
      </c>
      <c r="G69">
        <v>1</v>
      </c>
      <c r="H69">
        <v>2E+20</v>
      </c>
      <c r="I69">
        <v>1</v>
      </c>
      <c r="J69">
        <v>1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1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</v>
      </c>
      <c r="U69">
        <f>IF((ContinuousStatsTable[[#This Row],[RepsRequested]]&gt;1),ContinuousStatsTable[[#This Row],[HalfWidth]],ContinuousStatsTable[[#This Row],[BatchMeansHalfWidth]])</f>
        <v>0</v>
      </c>
    </row>
    <row r="70" spans="1:21" x14ac:dyDescent="0.3">
      <c r="A70" t="s">
        <v>66</v>
      </c>
      <c r="B70" t="s">
        <v>68</v>
      </c>
      <c r="C70">
        <v>6</v>
      </c>
      <c r="D70" t="s">
        <v>69</v>
      </c>
      <c r="E70" t="s">
        <v>90</v>
      </c>
      <c r="F70" t="s">
        <v>71</v>
      </c>
      <c r="G70">
        <v>2.9760434619251201</v>
      </c>
      <c r="H70">
        <v>3E+20</v>
      </c>
      <c r="I70">
        <v>0</v>
      </c>
      <c r="J70">
        <v>16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2.2160183111888898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2.9760434619251201</v>
      </c>
      <c r="U70">
        <f>IF((ContinuousStatsTable[[#This Row],[RepsRequested]]&gt;1),ContinuousStatsTable[[#This Row],[HalfWidth]],ContinuousStatsTable[[#This Row],[BatchMeansHalfWidth]])</f>
        <v>0.18257334807025916</v>
      </c>
    </row>
    <row r="71" spans="1:21" x14ac:dyDescent="0.3">
      <c r="A71" t="s">
        <v>66</v>
      </c>
      <c r="B71" t="s">
        <v>68</v>
      </c>
      <c r="C71">
        <v>6</v>
      </c>
      <c r="D71" t="s">
        <v>77</v>
      </c>
      <c r="E71" t="s">
        <v>91</v>
      </c>
      <c r="F71" t="s">
        <v>79</v>
      </c>
      <c r="G71">
        <v>1.6405547501891999</v>
      </c>
      <c r="H71">
        <v>3E+20</v>
      </c>
      <c r="I71">
        <v>0</v>
      </c>
      <c r="J71">
        <v>14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0.89935067686704995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1.6405547501891999</v>
      </c>
      <c r="U71">
        <f>IF((ContinuousStatsTable[[#This Row],[RepsRequested]]&gt;1),ContinuousStatsTable[[#This Row],[HalfWidth]],ContinuousStatsTable[[#This Row],[BatchMeansHalfWidth]])</f>
        <v>0.17644718665595893</v>
      </c>
    </row>
    <row r="72" spans="1:21" x14ac:dyDescent="0.3">
      <c r="A72" t="s">
        <v>66</v>
      </c>
      <c r="B72" t="s">
        <v>68</v>
      </c>
      <c r="C72">
        <v>6</v>
      </c>
      <c r="D72" t="s">
        <v>80</v>
      </c>
      <c r="E72" t="s">
        <v>91</v>
      </c>
      <c r="F72" t="s">
        <v>79</v>
      </c>
      <c r="G72">
        <v>2.2069141604617899E-5</v>
      </c>
      <c r="H72">
        <v>2E+20</v>
      </c>
      <c r="I72">
        <v>0</v>
      </c>
      <c r="J72">
        <v>1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2.2069141604617899E-5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6.2059425224605404E-4</v>
      </c>
      <c r="U72">
        <f>IF((ContinuousStatsTable[[#This Row],[RepsRequested]]&gt;1),ContinuousStatsTable[[#This Row],[HalfWidth]],ContinuousStatsTable[[#This Row],[BatchMeansHalfWidth]])</f>
        <v>1.5018604420562854E-4</v>
      </c>
    </row>
    <row r="73" spans="1:21" x14ac:dyDescent="0.3">
      <c r="A73" t="s">
        <v>66</v>
      </c>
      <c r="B73" t="s">
        <v>68</v>
      </c>
      <c r="C73">
        <v>6</v>
      </c>
      <c r="D73" t="s">
        <v>92</v>
      </c>
      <c r="E73" t="s">
        <v>86</v>
      </c>
      <c r="F73" t="s">
        <v>87</v>
      </c>
      <c r="G73">
        <v>0.17745123836948901</v>
      </c>
      <c r="H73">
        <v>2.18492376098906E-2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0.17745123836948901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0.211848867954925</v>
      </c>
      <c r="U73">
        <f>IF((ContinuousStatsTable[[#This Row],[RepsRequested]]&gt;1),ContinuousStatsTable[[#This Row],[HalfWidth]],ContinuousStatsTable[[#This Row],[BatchMeansHalfWidth]])</f>
        <v>9.2063464017040682E-3</v>
      </c>
    </row>
    <row r="74" spans="1:21" x14ac:dyDescent="0.3">
      <c r="A74" t="s">
        <v>66</v>
      </c>
      <c r="B74" t="s">
        <v>68</v>
      </c>
      <c r="C74">
        <v>6</v>
      </c>
      <c r="D74" t="s">
        <v>92</v>
      </c>
      <c r="E74" t="s">
        <v>88</v>
      </c>
      <c r="F74" t="s">
        <v>87</v>
      </c>
      <c r="G74">
        <v>0.17745123836948901</v>
      </c>
      <c r="H74">
        <v>2.18492376098906E-2</v>
      </c>
      <c r="I74">
        <v>0</v>
      </c>
      <c r="J74">
        <v>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0.17745123836948901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0.211848867954925</v>
      </c>
      <c r="U74">
        <f>IF((ContinuousStatsTable[[#This Row],[RepsRequested]]&gt;1),ContinuousStatsTable[[#This Row],[HalfWidth]],ContinuousStatsTable[[#This Row],[BatchMeansHalfWidth]])</f>
        <v>9.2063464017040682E-3</v>
      </c>
    </row>
    <row r="75" spans="1:21" x14ac:dyDescent="0.3">
      <c r="A75" t="s">
        <v>66</v>
      </c>
      <c r="B75" t="s">
        <v>68</v>
      </c>
      <c r="C75">
        <v>6</v>
      </c>
      <c r="D75" t="s">
        <v>92</v>
      </c>
      <c r="E75" t="s">
        <v>89</v>
      </c>
      <c r="F75" t="s">
        <v>87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6</v>
      </c>
      <c r="D76" t="s">
        <v>81</v>
      </c>
      <c r="E76" t="s">
        <v>91</v>
      </c>
      <c r="F76" t="s">
        <v>79</v>
      </c>
      <c r="G76">
        <v>3.2120131992165002E-3</v>
      </c>
      <c r="H76">
        <v>2E+20</v>
      </c>
      <c r="I76">
        <v>0</v>
      </c>
      <c r="J76">
        <v>1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3.2120131992165002E-3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6.7743819151736204E-3</v>
      </c>
      <c r="U76">
        <f>IF((ContinuousStatsTable[[#This Row],[RepsRequested]]&gt;1),ContinuousStatsTable[[#This Row],[HalfWidth]],ContinuousStatsTable[[#This Row],[BatchMeansHalfWidth]])</f>
        <v>7.1074337464513838E-4</v>
      </c>
    </row>
    <row r="77" spans="1:21" x14ac:dyDescent="0.3">
      <c r="A77" t="s">
        <v>66</v>
      </c>
      <c r="B77" t="s">
        <v>68</v>
      </c>
      <c r="C77">
        <v>6</v>
      </c>
      <c r="D77" t="s">
        <v>82</v>
      </c>
      <c r="E77" t="s">
        <v>91</v>
      </c>
      <c r="F77" t="s">
        <v>79</v>
      </c>
      <c r="G77">
        <v>7.20972505524855E-4</v>
      </c>
      <c r="H77">
        <v>2E+20</v>
      </c>
      <c r="I77">
        <v>0</v>
      </c>
      <c r="J77">
        <v>1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7.20972505524855E-4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2.83347119475641E-3</v>
      </c>
      <c r="U77">
        <f>IF((ContinuousStatsTable[[#This Row],[RepsRequested]]&gt;1),ContinuousStatsTable[[#This Row],[HalfWidth]],ContinuousStatsTable[[#This Row],[BatchMeansHalfWidth]])</f>
        <v>4.3057034897828515E-4</v>
      </c>
    </row>
    <row r="78" spans="1:21" x14ac:dyDescent="0.3">
      <c r="A78" t="s">
        <v>66</v>
      </c>
      <c r="B78" t="s">
        <v>68</v>
      </c>
      <c r="C78">
        <v>6</v>
      </c>
      <c r="D78" t="s">
        <v>83</v>
      </c>
      <c r="E78" t="s">
        <v>91</v>
      </c>
      <c r="F78" t="s">
        <v>79</v>
      </c>
      <c r="G78">
        <v>1.25846147023363E-3</v>
      </c>
      <c r="H78">
        <v>2E+20</v>
      </c>
      <c r="I78">
        <v>0</v>
      </c>
      <c r="J78">
        <v>1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3.9608330686738202E-4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1.78688869193974E-3</v>
      </c>
      <c r="U78">
        <f>IF((ContinuousStatsTable[[#This Row],[RepsRequested]]&gt;1),ContinuousStatsTable[[#This Row],[HalfWidth]],ContinuousStatsTable[[#This Row],[BatchMeansHalfWidth]])</f>
        <v>2.8554515794241967E-4</v>
      </c>
    </row>
    <row r="79" spans="1:21" x14ac:dyDescent="0.3">
      <c r="A79" t="s">
        <v>66</v>
      </c>
      <c r="B79" t="s">
        <v>68</v>
      </c>
      <c r="C79">
        <v>6</v>
      </c>
      <c r="D79" t="s">
        <v>84</v>
      </c>
      <c r="E79" t="s">
        <v>91</v>
      </c>
      <c r="F79" t="s">
        <v>79</v>
      </c>
      <c r="G79">
        <v>8.6769614404101896E-4</v>
      </c>
      <c r="H79">
        <v>2E+20</v>
      </c>
      <c r="I79">
        <v>0</v>
      </c>
      <c r="J79">
        <v>1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1.9922591088506199E-4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1.8257956012972701E-3</v>
      </c>
      <c r="U79">
        <f>IF((ContinuousStatsTable[[#This Row],[RepsRequested]]&gt;1),ContinuousStatsTable[[#This Row],[HalfWidth]],ContinuousStatsTable[[#This Row],[BatchMeansHalfWidth]])</f>
        <v>3.2083970764496515E-4</v>
      </c>
    </row>
    <row r="80" spans="1:21" x14ac:dyDescent="0.3">
      <c r="A80" t="s">
        <v>66</v>
      </c>
      <c r="B80" t="s">
        <v>68</v>
      </c>
      <c r="C80">
        <v>7</v>
      </c>
      <c r="D80" t="s">
        <v>85</v>
      </c>
      <c r="E80" t="s">
        <v>86</v>
      </c>
      <c r="F80" t="s">
        <v>87</v>
      </c>
      <c r="G80">
        <v>0.71419407115187294</v>
      </c>
      <c r="H80">
        <v>2E+20</v>
      </c>
      <c r="I80">
        <v>0</v>
      </c>
      <c r="J80">
        <v>1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0.71419407115187294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0.77930529942358095</v>
      </c>
      <c r="U80">
        <f>IF((ContinuousStatsTable[[#This Row],[RepsRequested]]&gt;1),ContinuousStatsTable[[#This Row],[HalfWidth]],ContinuousStatsTable[[#This Row],[BatchMeansHalfWidth]])</f>
        <v>1.6179738801761465E-2</v>
      </c>
    </row>
    <row r="81" spans="1:21" x14ac:dyDescent="0.3">
      <c r="A81" t="s">
        <v>66</v>
      </c>
      <c r="B81" t="s">
        <v>68</v>
      </c>
      <c r="C81">
        <v>7</v>
      </c>
      <c r="D81" t="s">
        <v>85</v>
      </c>
      <c r="E81" t="s">
        <v>88</v>
      </c>
      <c r="F81" t="s">
        <v>87</v>
      </c>
      <c r="G81">
        <v>0.71419407115187294</v>
      </c>
      <c r="H81">
        <v>2E+20</v>
      </c>
      <c r="I81">
        <v>0</v>
      </c>
      <c r="J81">
        <v>1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0.71419407115187294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0.77930529942358095</v>
      </c>
      <c r="U81">
        <f>IF((ContinuousStatsTable[[#This Row],[RepsRequested]]&gt;1),ContinuousStatsTable[[#This Row],[HalfWidth]],ContinuousStatsTable[[#This Row],[BatchMeansHalfWidth]])</f>
        <v>1.6179738801761465E-2</v>
      </c>
    </row>
    <row r="82" spans="1:21" x14ac:dyDescent="0.3">
      <c r="A82" t="s">
        <v>66</v>
      </c>
      <c r="B82" t="s">
        <v>68</v>
      </c>
      <c r="C82">
        <v>7</v>
      </c>
      <c r="D82" t="s">
        <v>85</v>
      </c>
      <c r="E82" t="s">
        <v>89</v>
      </c>
      <c r="F82" t="s">
        <v>87</v>
      </c>
      <c r="G82">
        <v>1</v>
      </c>
      <c r="H82">
        <v>2E+20</v>
      </c>
      <c r="I82">
        <v>1</v>
      </c>
      <c r="J82">
        <v>1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</v>
      </c>
      <c r="U82">
        <f>IF((ContinuousStatsTable[[#This Row],[RepsRequested]]&gt;1),ContinuousStatsTable[[#This Row],[HalfWidth]],ContinuousStatsTable[[#This Row],[BatchMeansHalfWidth]])</f>
        <v>0</v>
      </c>
    </row>
    <row r="83" spans="1:21" x14ac:dyDescent="0.3">
      <c r="A83" t="s">
        <v>66</v>
      </c>
      <c r="B83" t="s">
        <v>68</v>
      </c>
      <c r="C83">
        <v>7</v>
      </c>
      <c r="D83" t="s">
        <v>69</v>
      </c>
      <c r="E83" t="s">
        <v>90</v>
      </c>
      <c r="F83" t="s">
        <v>71</v>
      </c>
      <c r="G83">
        <v>2.2160183111888898</v>
      </c>
      <c r="H83">
        <v>0.48180477611046801</v>
      </c>
      <c r="I83">
        <v>0</v>
      </c>
      <c r="J83">
        <v>9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2.2160183111888898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2.9760434619251201</v>
      </c>
      <c r="U83">
        <f>IF((ContinuousStatsTable[[#This Row],[RepsRequested]]&gt;1),ContinuousStatsTable[[#This Row],[HalfWidth]],ContinuousStatsTable[[#This Row],[BatchMeansHalfWidth]])</f>
        <v>0.18257334807025916</v>
      </c>
    </row>
    <row r="84" spans="1:21" x14ac:dyDescent="0.3">
      <c r="A84" t="s">
        <v>66</v>
      </c>
      <c r="B84" t="s">
        <v>68</v>
      </c>
      <c r="C84">
        <v>7</v>
      </c>
      <c r="D84" t="s">
        <v>77</v>
      </c>
      <c r="E84" t="s">
        <v>91</v>
      </c>
      <c r="F84" t="s">
        <v>79</v>
      </c>
      <c r="G84">
        <v>0.91612145892672103</v>
      </c>
      <c r="H84">
        <v>0.38318867030863402</v>
      </c>
      <c r="I84">
        <v>0</v>
      </c>
      <c r="J84">
        <v>8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0.89935067686704995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1.6405547501891999</v>
      </c>
      <c r="U84">
        <f>IF((ContinuousStatsTable[[#This Row],[RepsRequested]]&gt;1),ContinuousStatsTable[[#This Row],[HalfWidth]],ContinuousStatsTable[[#This Row],[BatchMeansHalfWidth]])</f>
        <v>0.17644718665595893</v>
      </c>
    </row>
    <row r="85" spans="1:21" x14ac:dyDescent="0.3">
      <c r="A85" t="s">
        <v>66</v>
      </c>
      <c r="B85" t="s">
        <v>68</v>
      </c>
      <c r="C85">
        <v>7</v>
      </c>
      <c r="D85" t="s">
        <v>80</v>
      </c>
      <c r="E85" t="s">
        <v>91</v>
      </c>
      <c r="F85" t="s">
        <v>79</v>
      </c>
      <c r="G85">
        <v>4.2609425515024703E-5</v>
      </c>
      <c r="H85">
        <v>2E+20</v>
      </c>
      <c r="I85">
        <v>0</v>
      </c>
      <c r="J85">
        <v>1</v>
      </c>
      <c r="K85">
        <v>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2.2069141604617899E-5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6.2059425224605404E-4</v>
      </c>
      <c r="U85">
        <f>IF((ContinuousStatsTable[[#This Row],[RepsRequested]]&gt;1),ContinuousStatsTable[[#This Row],[HalfWidth]],ContinuousStatsTable[[#This Row],[BatchMeansHalfWidth]])</f>
        <v>1.5018604420562854E-4</v>
      </c>
    </row>
    <row r="86" spans="1:21" x14ac:dyDescent="0.3">
      <c r="A86" t="s">
        <v>66</v>
      </c>
      <c r="B86" t="s">
        <v>68</v>
      </c>
      <c r="C86">
        <v>7</v>
      </c>
      <c r="D86" t="s">
        <v>92</v>
      </c>
      <c r="E86" t="s">
        <v>86</v>
      </c>
      <c r="F86" t="s">
        <v>87</v>
      </c>
      <c r="G86">
        <v>0.17915015177023799</v>
      </c>
      <c r="H86">
        <v>3E+20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0.17745123836948901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0.211848867954925</v>
      </c>
      <c r="U86">
        <f>IF((ContinuousStatsTable[[#This Row],[RepsRequested]]&gt;1),ContinuousStatsTable[[#This Row],[HalfWidth]],ContinuousStatsTable[[#This Row],[BatchMeansHalfWidth]])</f>
        <v>9.2063464017040682E-3</v>
      </c>
    </row>
    <row r="87" spans="1:21" x14ac:dyDescent="0.3">
      <c r="A87" t="s">
        <v>66</v>
      </c>
      <c r="B87" t="s">
        <v>68</v>
      </c>
      <c r="C87">
        <v>7</v>
      </c>
      <c r="D87" t="s">
        <v>92</v>
      </c>
      <c r="E87" t="s">
        <v>88</v>
      </c>
      <c r="F87" t="s">
        <v>87</v>
      </c>
      <c r="G87">
        <v>0.17915015177023799</v>
      </c>
      <c r="H87">
        <v>3E+20</v>
      </c>
      <c r="I87">
        <v>0</v>
      </c>
      <c r="J87">
        <v>1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0.17745123836948901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0.211848867954925</v>
      </c>
      <c r="U87">
        <f>IF((ContinuousStatsTable[[#This Row],[RepsRequested]]&gt;1),ContinuousStatsTable[[#This Row],[HalfWidth]],ContinuousStatsTable[[#This Row],[BatchMeansHalfWidth]])</f>
        <v>9.2063464017040682E-3</v>
      </c>
    </row>
    <row r="88" spans="1:21" x14ac:dyDescent="0.3">
      <c r="A88" t="s">
        <v>66</v>
      </c>
      <c r="B88" t="s">
        <v>68</v>
      </c>
      <c r="C88">
        <v>7</v>
      </c>
      <c r="D88" t="s">
        <v>92</v>
      </c>
      <c r="E88" t="s">
        <v>89</v>
      </c>
      <c r="F88" t="s">
        <v>87</v>
      </c>
      <c r="G88">
        <v>1</v>
      </c>
      <c r="H88">
        <v>2E+20</v>
      </c>
      <c r="I88">
        <v>1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1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1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1</v>
      </c>
      <c r="U88">
        <f>IF((ContinuousStatsTable[[#This Row],[RepsRequested]]&gt;1),ContinuousStatsTable[[#This Row],[HalfWidth]],ContinuousStatsTable[[#This Row],[BatchMeansHalfWidth]])</f>
        <v>0</v>
      </c>
    </row>
    <row r="89" spans="1:21" x14ac:dyDescent="0.3">
      <c r="A89" t="s">
        <v>66</v>
      </c>
      <c r="B89" t="s">
        <v>68</v>
      </c>
      <c r="C89">
        <v>7</v>
      </c>
      <c r="D89" t="s">
        <v>81</v>
      </c>
      <c r="E89" t="s">
        <v>91</v>
      </c>
      <c r="F89" t="s">
        <v>79</v>
      </c>
      <c r="G89">
        <v>4.6860332584123601E-3</v>
      </c>
      <c r="H89">
        <v>2E+20</v>
      </c>
      <c r="I89">
        <v>0</v>
      </c>
      <c r="J89">
        <v>1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3.2120131992165002E-3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6.7743819151736204E-3</v>
      </c>
      <c r="U89">
        <f>IF((ContinuousStatsTable[[#This Row],[RepsRequested]]&gt;1),ContinuousStatsTable[[#This Row],[HalfWidth]],ContinuousStatsTable[[#This Row],[BatchMeansHalfWidth]])</f>
        <v>7.1074337464513838E-4</v>
      </c>
    </row>
    <row r="90" spans="1:21" x14ac:dyDescent="0.3">
      <c r="A90" t="s">
        <v>66</v>
      </c>
      <c r="B90" t="s">
        <v>68</v>
      </c>
      <c r="C90">
        <v>7</v>
      </c>
      <c r="D90" t="s">
        <v>82</v>
      </c>
      <c r="E90" t="s">
        <v>91</v>
      </c>
      <c r="F90" t="s">
        <v>79</v>
      </c>
      <c r="G90">
        <v>1.75222110225108E-3</v>
      </c>
      <c r="H90">
        <v>2E+20</v>
      </c>
      <c r="I90">
        <v>0</v>
      </c>
      <c r="J90">
        <v>1</v>
      </c>
      <c r="K90">
        <v>0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7.20972505524855E-4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2.83347119475641E-3</v>
      </c>
      <c r="U90">
        <f>IF((ContinuousStatsTable[[#This Row],[RepsRequested]]&gt;1),ContinuousStatsTable[[#This Row],[HalfWidth]],ContinuousStatsTable[[#This Row],[BatchMeansHalfWidth]])</f>
        <v>4.3057034897828515E-4</v>
      </c>
    </row>
    <row r="91" spans="1:21" x14ac:dyDescent="0.3">
      <c r="A91" t="s">
        <v>66</v>
      </c>
      <c r="B91" t="s">
        <v>68</v>
      </c>
      <c r="C91">
        <v>7</v>
      </c>
      <c r="D91" t="s">
        <v>83</v>
      </c>
      <c r="E91" t="s">
        <v>91</v>
      </c>
      <c r="F91" t="s">
        <v>79</v>
      </c>
      <c r="G91">
        <v>1.18503964296497E-3</v>
      </c>
      <c r="H91">
        <v>2E+20</v>
      </c>
      <c r="I91">
        <v>0</v>
      </c>
      <c r="J91">
        <v>1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3.9608330686738202E-4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1.78688869193974E-3</v>
      </c>
      <c r="U91">
        <f>IF((ContinuousStatsTable[[#This Row],[RepsRequested]]&gt;1),ContinuousStatsTable[[#This Row],[HalfWidth]],ContinuousStatsTable[[#This Row],[BatchMeansHalfWidth]])</f>
        <v>2.8554515794241967E-4</v>
      </c>
    </row>
    <row r="92" spans="1:21" x14ac:dyDescent="0.3">
      <c r="A92" t="s">
        <v>66</v>
      </c>
      <c r="B92" t="s">
        <v>68</v>
      </c>
      <c r="C92">
        <v>7</v>
      </c>
      <c r="D92" t="s">
        <v>84</v>
      </c>
      <c r="E92" t="s">
        <v>91</v>
      </c>
      <c r="F92" t="s">
        <v>79</v>
      </c>
      <c r="G92">
        <v>1.9922591088506199E-4</v>
      </c>
      <c r="H92">
        <v>2E+20</v>
      </c>
      <c r="I92">
        <v>0</v>
      </c>
      <c r="J92">
        <v>1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1.9922591088506199E-4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1.8257956012972701E-3</v>
      </c>
      <c r="U92">
        <f>IF((ContinuousStatsTable[[#This Row],[RepsRequested]]&gt;1),ContinuousStatsTable[[#This Row],[HalfWidth]],ContinuousStatsTable[[#This Row],[BatchMeansHalfWidth]])</f>
        <v>3.2083970764496515E-4</v>
      </c>
    </row>
    <row r="93" spans="1:21" x14ac:dyDescent="0.3">
      <c r="A93" t="s">
        <v>66</v>
      </c>
      <c r="B93" t="s">
        <v>68</v>
      </c>
      <c r="C93">
        <v>8</v>
      </c>
      <c r="D93" t="s">
        <v>85</v>
      </c>
      <c r="E93" t="s">
        <v>86</v>
      </c>
      <c r="F93" t="s">
        <v>87</v>
      </c>
      <c r="G93">
        <v>0.75191681647388897</v>
      </c>
      <c r="H93">
        <v>2E+20</v>
      </c>
      <c r="I93">
        <v>0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0.71419407115187294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0.77930529942358095</v>
      </c>
      <c r="U93">
        <f>IF((ContinuousStatsTable[[#This Row],[RepsRequested]]&gt;1),ContinuousStatsTable[[#This Row],[HalfWidth]],ContinuousStatsTable[[#This Row],[BatchMeansHalfWidth]])</f>
        <v>1.6179738801761465E-2</v>
      </c>
    </row>
    <row r="94" spans="1:21" x14ac:dyDescent="0.3">
      <c r="A94" t="s">
        <v>66</v>
      </c>
      <c r="B94" t="s">
        <v>68</v>
      </c>
      <c r="C94">
        <v>8</v>
      </c>
      <c r="D94" t="s">
        <v>85</v>
      </c>
      <c r="E94" t="s">
        <v>88</v>
      </c>
      <c r="F94" t="s">
        <v>87</v>
      </c>
      <c r="G94">
        <v>0.75191681647388897</v>
      </c>
      <c r="H94">
        <v>2E+20</v>
      </c>
      <c r="I94">
        <v>0</v>
      </c>
      <c r="J94">
        <v>1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0.71419407115187294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0.77930529942358095</v>
      </c>
      <c r="U94">
        <f>IF((ContinuousStatsTable[[#This Row],[RepsRequested]]&gt;1),ContinuousStatsTable[[#This Row],[HalfWidth]],ContinuousStatsTable[[#This Row],[BatchMeansHalfWidth]])</f>
        <v>1.6179738801761465E-2</v>
      </c>
    </row>
    <row r="95" spans="1:21" x14ac:dyDescent="0.3">
      <c r="A95" t="s">
        <v>66</v>
      </c>
      <c r="B95" t="s">
        <v>68</v>
      </c>
      <c r="C95">
        <v>8</v>
      </c>
      <c r="D95" t="s">
        <v>85</v>
      </c>
      <c r="E95" t="s">
        <v>89</v>
      </c>
      <c r="F95" t="s">
        <v>87</v>
      </c>
      <c r="G95">
        <v>1</v>
      </c>
      <c r="H95">
        <v>2E+20</v>
      </c>
      <c r="I95">
        <v>1</v>
      </c>
      <c r="J95">
        <v>1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8</v>
      </c>
      <c r="D96" t="s">
        <v>69</v>
      </c>
      <c r="E96" t="s">
        <v>90</v>
      </c>
      <c r="F96" t="s">
        <v>71</v>
      </c>
      <c r="G96">
        <v>2.2956179370517602</v>
      </c>
      <c r="H96">
        <v>0.35101657591239899</v>
      </c>
      <c r="I96">
        <v>0</v>
      </c>
      <c r="J96">
        <v>8</v>
      </c>
      <c r="K96">
        <v>4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2.2160183111888898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2.9760434619251201</v>
      </c>
      <c r="U96">
        <f>IF((ContinuousStatsTable[[#This Row],[RepsRequested]]&gt;1),ContinuousStatsTable[[#This Row],[HalfWidth]],ContinuousStatsTable[[#This Row],[BatchMeansHalfWidth]])</f>
        <v>0.18257334807025916</v>
      </c>
    </row>
    <row r="97" spans="1:21" x14ac:dyDescent="0.3">
      <c r="A97" t="s">
        <v>66</v>
      </c>
      <c r="B97" t="s">
        <v>68</v>
      </c>
      <c r="C97">
        <v>8</v>
      </c>
      <c r="D97" t="s">
        <v>77</v>
      </c>
      <c r="E97" t="s">
        <v>91</v>
      </c>
      <c r="F97" t="s">
        <v>79</v>
      </c>
      <c r="G97">
        <v>0.89935067686704995</v>
      </c>
      <c r="H97">
        <v>0.25466874649190302</v>
      </c>
      <c r="I97">
        <v>0</v>
      </c>
      <c r="J97">
        <v>6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0.89935067686704995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1.6405547501891999</v>
      </c>
      <c r="U97">
        <f>IF((ContinuousStatsTable[[#This Row],[RepsRequested]]&gt;1),ContinuousStatsTable[[#This Row],[HalfWidth]],ContinuousStatsTable[[#This Row],[BatchMeansHalfWidth]])</f>
        <v>0.17644718665595893</v>
      </c>
    </row>
    <row r="98" spans="1:21" x14ac:dyDescent="0.3">
      <c r="A98" t="s">
        <v>66</v>
      </c>
      <c r="B98" t="s">
        <v>68</v>
      </c>
      <c r="C98">
        <v>8</v>
      </c>
      <c r="D98" t="s">
        <v>80</v>
      </c>
      <c r="E98" t="s">
        <v>91</v>
      </c>
      <c r="F98" t="s">
        <v>79</v>
      </c>
      <c r="G98">
        <v>2.2659902935606599E-4</v>
      </c>
      <c r="H98">
        <v>2E+20</v>
      </c>
      <c r="I98">
        <v>0</v>
      </c>
      <c r="J98">
        <v>1</v>
      </c>
      <c r="K98">
        <v>0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2.2069141604617899E-5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6.2059425224605404E-4</v>
      </c>
      <c r="U98">
        <f>IF((ContinuousStatsTable[[#This Row],[RepsRequested]]&gt;1),ContinuousStatsTable[[#This Row],[HalfWidth]],ContinuousStatsTable[[#This Row],[BatchMeansHalfWidth]])</f>
        <v>1.5018604420562854E-4</v>
      </c>
    </row>
    <row r="99" spans="1:21" x14ac:dyDescent="0.3">
      <c r="A99" t="s">
        <v>66</v>
      </c>
      <c r="B99" t="s">
        <v>68</v>
      </c>
      <c r="C99">
        <v>8</v>
      </c>
      <c r="D99" t="s">
        <v>92</v>
      </c>
      <c r="E99" t="s">
        <v>86</v>
      </c>
      <c r="F99" t="s">
        <v>87</v>
      </c>
      <c r="G99">
        <v>0.20583759426287199</v>
      </c>
      <c r="H99">
        <v>3E+20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0.17745123836948901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0.211848867954925</v>
      </c>
      <c r="U99">
        <f>IF((ContinuousStatsTable[[#This Row],[RepsRequested]]&gt;1),ContinuousStatsTable[[#This Row],[HalfWidth]],ContinuousStatsTable[[#This Row],[BatchMeansHalfWidth]])</f>
        <v>9.2063464017040682E-3</v>
      </c>
    </row>
    <row r="100" spans="1:21" x14ac:dyDescent="0.3">
      <c r="A100" t="s">
        <v>66</v>
      </c>
      <c r="B100" t="s">
        <v>68</v>
      </c>
      <c r="C100">
        <v>8</v>
      </c>
      <c r="D100" t="s">
        <v>92</v>
      </c>
      <c r="E100" t="s">
        <v>88</v>
      </c>
      <c r="F100" t="s">
        <v>87</v>
      </c>
      <c r="G100">
        <v>0.20583759426287199</v>
      </c>
      <c r="H100">
        <v>3E+20</v>
      </c>
      <c r="I100">
        <v>0</v>
      </c>
      <c r="J100">
        <v>1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0.17745123836948901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0.211848867954925</v>
      </c>
      <c r="U100">
        <f>IF((ContinuousStatsTable[[#This Row],[RepsRequested]]&gt;1),ContinuousStatsTable[[#This Row],[HalfWidth]],ContinuousStatsTable[[#This Row],[BatchMeansHalfWidth]])</f>
        <v>9.2063464017040682E-3</v>
      </c>
    </row>
    <row r="101" spans="1:21" x14ac:dyDescent="0.3">
      <c r="A101" t="s">
        <v>66</v>
      </c>
      <c r="B101" t="s">
        <v>68</v>
      </c>
      <c r="C101">
        <v>8</v>
      </c>
      <c r="D101" t="s">
        <v>92</v>
      </c>
      <c r="E101" t="s">
        <v>89</v>
      </c>
      <c r="F101" t="s">
        <v>87</v>
      </c>
      <c r="G101">
        <v>1</v>
      </c>
      <c r="H101">
        <v>2E+20</v>
      </c>
      <c r="I101">
        <v>1</v>
      </c>
      <c r="J101">
        <v>1</v>
      </c>
      <c r="K101">
        <v>1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1</v>
      </c>
      <c r="U101">
        <f>IF((ContinuousStatsTable[[#This Row],[RepsRequested]]&gt;1),ContinuousStatsTable[[#This Row],[HalfWidth]],ContinuousStatsTable[[#This Row],[BatchMeansHalfWidth]])</f>
        <v>0</v>
      </c>
    </row>
    <row r="102" spans="1:21" x14ac:dyDescent="0.3">
      <c r="A102" t="s">
        <v>66</v>
      </c>
      <c r="B102" t="s">
        <v>68</v>
      </c>
      <c r="C102">
        <v>8</v>
      </c>
      <c r="D102" t="s">
        <v>81</v>
      </c>
      <c r="E102" t="s">
        <v>91</v>
      </c>
      <c r="F102" t="s">
        <v>79</v>
      </c>
      <c r="G102">
        <v>5.6882313224783203E-3</v>
      </c>
      <c r="H102">
        <v>2E+20</v>
      </c>
      <c r="I102">
        <v>0</v>
      </c>
      <c r="J102">
        <v>2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3.2120131992165002E-3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6.7743819151736204E-3</v>
      </c>
      <c r="U102">
        <f>IF((ContinuousStatsTable[[#This Row],[RepsRequested]]&gt;1),ContinuousStatsTable[[#This Row],[HalfWidth]],ContinuousStatsTable[[#This Row],[BatchMeansHalfWidth]])</f>
        <v>7.1074337464513838E-4</v>
      </c>
    </row>
    <row r="103" spans="1:21" x14ac:dyDescent="0.3">
      <c r="A103" t="s">
        <v>66</v>
      </c>
      <c r="B103" t="s">
        <v>68</v>
      </c>
      <c r="C103">
        <v>8</v>
      </c>
      <c r="D103" t="s">
        <v>82</v>
      </c>
      <c r="E103" t="s">
        <v>91</v>
      </c>
      <c r="F103" t="s">
        <v>79</v>
      </c>
      <c r="G103">
        <v>1.02081229191186E-3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7.20972505524855E-4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2.83347119475641E-3</v>
      </c>
      <c r="U103">
        <f>IF((ContinuousStatsTable[[#This Row],[RepsRequested]]&gt;1),ContinuousStatsTable[[#This Row],[HalfWidth]],ContinuousStatsTable[[#This Row],[BatchMeansHalfWidth]])</f>
        <v>4.3057034897828515E-4</v>
      </c>
    </row>
    <row r="104" spans="1:21" x14ac:dyDescent="0.3">
      <c r="A104" t="s">
        <v>66</v>
      </c>
      <c r="B104" t="s">
        <v>68</v>
      </c>
      <c r="C104">
        <v>8</v>
      </c>
      <c r="D104" t="s">
        <v>83</v>
      </c>
      <c r="E104" t="s">
        <v>91</v>
      </c>
      <c r="F104" t="s">
        <v>79</v>
      </c>
      <c r="G104">
        <v>1.3534006939048501E-3</v>
      </c>
      <c r="H104">
        <v>2E+20</v>
      </c>
      <c r="I104">
        <v>0</v>
      </c>
      <c r="J104">
        <v>1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3.9608330686738202E-4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1.78688869193974E-3</v>
      </c>
      <c r="U104">
        <f>IF((ContinuousStatsTable[[#This Row],[RepsRequested]]&gt;1),ContinuousStatsTable[[#This Row],[HalfWidth]],ContinuousStatsTable[[#This Row],[BatchMeansHalfWidth]])</f>
        <v>2.8554515794241967E-4</v>
      </c>
    </row>
    <row r="105" spans="1:21" x14ac:dyDescent="0.3">
      <c r="A105" t="s">
        <v>66</v>
      </c>
      <c r="B105" t="s">
        <v>68</v>
      </c>
      <c r="C105">
        <v>8</v>
      </c>
      <c r="D105" t="s">
        <v>84</v>
      </c>
      <c r="E105" t="s">
        <v>91</v>
      </c>
      <c r="F105" t="s">
        <v>79</v>
      </c>
      <c r="G105">
        <v>1.59880611026807E-3</v>
      </c>
      <c r="H105">
        <v>2E+20</v>
      </c>
      <c r="I105">
        <v>0</v>
      </c>
      <c r="J105">
        <v>1</v>
      </c>
      <c r="K105">
        <v>0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1.9922591088506199E-4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1.8257956012972701E-3</v>
      </c>
      <c r="U105">
        <f>IF((ContinuousStatsTable[[#This Row],[RepsRequested]]&gt;1),ContinuousStatsTable[[#This Row],[HalfWidth]],ContinuousStatsTable[[#This Row],[BatchMeansHalfWidth]])</f>
        <v>3.2083970764496515E-4</v>
      </c>
    </row>
    <row r="106" spans="1:21" x14ac:dyDescent="0.3">
      <c r="A106" t="s">
        <v>66</v>
      </c>
      <c r="B106" t="s">
        <v>68</v>
      </c>
      <c r="C106">
        <v>9</v>
      </c>
      <c r="D106" t="s">
        <v>85</v>
      </c>
      <c r="E106" t="s">
        <v>86</v>
      </c>
      <c r="F106" t="s">
        <v>87</v>
      </c>
      <c r="G106">
        <v>0.77930529942358095</v>
      </c>
      <c r="H106">
        <v>2E+20</v>
      </c>
      <c r="I106">
        <v>0</v>
      </c>
      <c r="J106">
        <v>1</v>
      </c>
      <c r="K106">
        <v>1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0.71419407115187294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0.77930529942358095</v>
      </c>
      <c r="U106">
        <f>IF((ContinuousStatsTable[[#This Row],[RepsRequested]]&gt;1),ContinuousStatsTable[[#This Row],[HalfWidth]],ContinuousStatsTable[[#This Row],[BatchMeansHalfWidth]])</f>
        <v>1.6179738801761465E-2</v>
      </c>
    </row>
    <row r="107" spans="1:21" x14ac:dyDescent="0.3">
      <c r="A107" t="s">
        <v>66</v>
      </c>
      <c r="B107" t="s">
        <v>68</v>
      </c>
      <c r="C107">
        <v>9</v>
      </c>
      <c r="D107" t="s">
        <v>85</v>
      </c>
      <c r="E107" t="s">
        <v>88</v>
      </c>
      <c r="F107" t="s">
        <v>87</v>
      </c>
      <c r="G107">
        <v>0.77930529942358095</v>
      </c>
      <c r="H107">
        <v>2E+20</v>
      </c>
      <c r="I107">
        <v>0</v>
      </c>
      <c r="J107">
        <v>1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0.71419407115187294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0.77930529942358095</v>
      </c>
      <c r="U107">
        <f>IF((ContinuousStatsTable[[#This Row],[RepsRequested]]&gt;1),ContinuousStatsTable[[#This Row],[HalfWidth]],ContinuousStatsTable[[#This Row],[BatchMeansHalfWidth]])</f>
        <v>1.6179738801761465E-2</v>
      </c>
    </row>
    <row r="108" spans="1:21" x14ac:dyDescent="0.3">
      <c r="A108" t="s">
        <v>66</v>
      </c>
      <c r="B108" t="s">
        <v>68</v>
      </c>
      <c r="C108">
        <v>9</v>
      </c>
      <c r="D108" t="s">
        <v>85</v>
      </c>
      <c r="E108" t="s">
        <v>89</v>
      </c>
      <c r="F108" t="s">
        <v>87</v>
      </c>
      <c r="G108">
        <v>1</v>
      </c>
      <c r="H108">
        <v>2E+20</v>
      </c>
      <c r="I108">
        <v>1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1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1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1</v>
      </c>
      <c r="U108">
        <f>IF((ContinuousStatsTable[[#This Row],[RepsRequested]]&gt;1),ContinuousStatsTable[[#This Row],[HalfWidth]],ContinuousStatsTable[[#This Row],[BatchMeansHalfWidth]])</f>
        <v>0</v>
      </c>
    </row>
    <row r="109" spans="1:21" x14ac:dyDescent="0.3">
      <c r="A109" t="s">
        <v>66</v>
      </c>
      <c r="B109" t="s">
        <v>68</v>
      </c>
      <c r="C109">
        <v>9</v>
      </c>
      <c r="D109" t="s">
        <v>69</v>
      </c>
      <c r="E109" t="s">
        <v>90</v>
      </c>
      <c r="F109" t="s">
        <v>71</v>
      </c>
      <c r="G109">
        <v>2.9494726286728401</v>
      </c>
      <c r="H109">
        <v>3E+20</v>
      </c>
      <c r="I109">
        <v>0</v>
      </c>
      <c r="J109">
        <v>12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2.2160183111888898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2.9760434619251201</v>
      </c>
      <c r="U109">
        <f>IF((ContinuousStatsTable[[#This Row],[RepsRequested]]&gt;1),ContinuousStatsTable[[#This Row],[HalfWidth]],ContinuousStatsTable[[#This Row],[BatchMeansHalfWidth]])</f>
        <v>0.18257334807025916</v>
      </c>
    </row>
    <row r="110" spans="1:21" x14ac:dyDescent="0.3">
      <c r="A110" t="s">
        <v>66</v>
      </c>
      <c r="B110" t="s">
        <v>68</v>
      </c>
      <c r="C110">
        <v>9</v>
      </c>
      <c r="D110" t="s">
        <v>77</v>
      </c>
      <c r="E110" t="s">
        <v>91</v>
      </c>
      <c r="F110" t="s">
        <v>79</v>
      </c>
      <c r="G110">
        <v>1.5111413281964099</v>
      </c>
      <c r="H110">
        <v>3E+20</v>
      </c>
      <c r="I110">
        <v>0</v>
      </c>
      <c r="J110">
        <v>10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0.89935067686704995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1.6405547501891999</v>
      </c>
      <c r="U110">
        <f>IF((ContinuousStatsTable[[#This Row],[RepsRequested]]&gt;1),ContinuousStatsTable[[#This Row],[HalfWidth]],ContinuousStatsTable[[#This Row],[BatchMeansHalfWidth]])</f>
        <v>0.17644718665595893</v>
      </c>
    </row>
    <row r="111" spans="1:21" x14ac:dyDescent="0.3">
      <c r="A111" t="s">
        <v>66</v>
      </c>
      <c r="B111" t="s">
        <v>68</v>
      </c>
      <c r="C111">
        <v>9</v>
      </c>
      <c r="D111" t="s">
        <v>80</v>
      </c>
      <c r="E111" t="s">
        <v>91</v>
      </c>
      <c r="F111" t="s">
        <v>79</v>
      </c>
      <c r="G111">
        <v>4.8872446910309001E-5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2.2069141604617899E-5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6.2059425224605404E-4</v>
      </c>
      <c r="U111">
        <f>IF((ContinuousStatsTable[[#This Row],[RepsRequested]]&gt;1),ContinuousStatsTable[[#This Row],[HalfWidth]],ContinuousStatsTable[[#This Row],[BatchMeansHalfWidth]])</f>
        <v>1.5018604420562854E-4</v>
      </c>
    </row>
    <row r="112" spans="1:21" x14ac:dyDescent="0.3">
      <c r="A112" t="s">
        <v>66</v>
      </c>
      <c r="B112" t="s">
        <v>68</v>
      </c>
      <c r="C112">
        <v>9</v>
      </c>
      <c r="D112" t="s">
        <v>92</v>
      </c>
      <c r="E112" t="s">
        <v>86</v>
      </c>
      <c r="F112" t="s">
        <v>87</v>
      </c>
      <c r="G112">
        <v>0.204903625205858</v>
      </c>
      <c r="H112">
        <v>2.3524218817059999E-2</v>
      </c>
      <c r="I112">
        <v>0</v>
      </c>
      <c r="J112">
        <v>1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0.17745123836948901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0.211848867954925</v>
      </c>
      <c r="U112">
        <f>IF((ContinuousStatsTable[[#This Row],[RepsRequested]]&gt;1),ContinuousStatsTable[[#This Row],[HalfWidth]],ContinuousStatsTable[[#This Row],[BatchMeansHalfWidth]])</f>
        <v>9.2063464017040682E-3</v>
      </c>
    </row>
    <row r="113" spans="1:21" x14ac:dyDescent="0.3">
      <c r="A113" t="s">
        <v>66</v>
      </c>
      <c r="B113" t="s">
        <v>68</v>
      </c>
      <c r="C113">
        <v>9</v>
      </c>
      <c r="D113" t="s">
        <v>92</v>
      </c>
      <c r="E113" t="s">
        <v>88</v>
      </c>
      <c r="F113" t="s">
        <v>87</v>
      </c>
      <c r="G113">
        <v>0.204903625205858</v>
      </c>
      <c r="H113">
        <v>2.3524218817059999E-2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0.17745123836948901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0.211848867954925</v>
      </c>
      <c r="U113">
        <f>IF((ContinuousStatsTable[[#This Row],[RepsRequested]]&gt;1),ContinuousStatsTable[[#This Row],[HalfWidth]],ContinuousStatsTable[[#This Row],[BatchMeansHalfWidth]])</f>
        <v>9.2063464017040682E-3</v>
      </c>
    </row>
    <row r="114" spans="1:21" x14ac:dyDescent="0.3">
      <c r="A114" t="s">
        <v>66</v>
      </c>
      <c r="B114" t="s">
        <v>68</v>
      </c>
      <c r="C114">
        <v>9</v>
      </c>
      <c r="D114" t="s">
        <v>92</v>
      </c>
      <c r="E114" t="s">
        <v>89</v>
      </c>
      <c r="F114" t="s">
        <v>87</v>
      </c>
      <c r="G114">
        <v>1</v>
      </c>
      <c r="H114">
        <v>2E+20</v>
      </c>
      <c r="I114">
        <v>1</v>
      </c>
      <c r="J114">
        <v>1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</v>
      </c>
      <c r="U114">
        <f>IF((ContinuousStatsTable[[#This Row],[RepsRequested]]&gt;1),ContinuousStatsTable[[#This Row],[HalfWidth]],ContinuousStatsTable[[#This Row],[BatchMeansHalfWidth]])</f>
        <v>0</v>
      </c>
    </row>
    <row r="115" spans="1:21" x14ac:dyDescent="0.3">
      <c r="A115" t="s">
        <v>66</v>
      </c>
      <c r="B115" t="s">
        <v>68</v>
      </c>
      <c r="C115">
        <v>9</v>
      </c>
      <c r="D115" t="s">
        <v>81</v>
      </c>
      <c r="E115" t="s">
        <v>91</v>
      </c>
      <c r="F115" t="s">
        <v>79</v>
      </c>
      <c r="G115">
        <v>5.4978957612089596E-3</v>
      </c>
      <c r="H115">
        <v>2E+20</v>
      </c>
      <c r="I115">
        <v>0</v>
      </c>
      <c r="J115">
        <v>2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3.2120131992165002E-3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6.7743819151736204E-3</v>
      </c>
      <c r="U115">
        <f>IF((ContinuousStatsTable[[#This Row],[RepsRequested]]&gt;1),ContinuousStatsTable[[#This Row],[HalfWidth]],ContinuousStatsTable[[#This Row],[BatchMeansHalfWidth]])</f>
        <v>7.1074337464513838E-4</v>
      </c>
    </row>
    <row r="116" spans="1:21" x14ac:dyDescent="0.3">
      <c r="A116" t="s">
        <v>66</v>
      </c>
      <c r="B116" t="s">
        <v>68</v>
      </c>
      <c r="C116">
        <v>9</v>
      </c>
      <c r="D116" t="s">
        <v>82</v>
      </c>
      <c r="E116" t="s">
        <v>91</v>
      </c>
      <c r="F116" t="s">
        <v>79</v>
      </c>
      <c r="G116">
        <v>1.7816810648360101E-3</v>
      </c>
      <c r="H116">
        <v>2E+20</v>
      </c>
      <c r="I116">
        <v>0</v>
      </c>
      <c r="J116">
        <v>1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7.20972505524855E-4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2.83347119475641E-3</v>
      </c>
      <c r="U116">
        <f>IF((ContinuousStatsTable[[#This Row],[RepsRequested]]&gt;1),ContinuousStatsTable[[#This Row],[HalfWidth]],ContinuousStatsTable[[#This Row],[BatchMeansHalfWidth]])</f>
        <v>4.3057034897828515E-4</v>
      </c>
    </row>
    <row r="117" spans="1:21" x14ac:dyDescent="0.3">
      <c r="A117" t="s">
        <v>66</v>
      </c>
      <c r="B117" t="s">
        <v>68</v>
      </c>
      <c r="C117">
        <v>9</v>
      </c>
      <c r="D117" t="s">
        <v>83</v>
      </c>
      <c r="E117" t="s">
        <v>91</v>
      </c>
      <c r="F117" t="s">
        <v>79</v>
      </c>
      <c r="G117">
        <v>9.6025571434074002E-4</v>
      </c>
      <c r="H117">
        <v>2E+20</v>
      </c>
      <c r="I117">
        <v>0</v>
      </c>
      <c r="J117">
        <v>1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3.9608330686738202E-4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1.78688869193974E-3</v>
      </c>
      <c r="U117">
        <f>IF((ContinuousStatsTable[[#This Row],[RepsRequested]]&gt;1),ContinuousStatsTable[[#This Row],[HalfWidth]],ContinuousStatsTable[[#This Row],[BatchMeansHalfWidth]])</f>
        <v>2.8554515794241967E-4</v>
      </c>
    </row>
    <row r="118" spans="1:21" x14ac:dyDescent="0.3">
      <c r="A118" t="s">
        <v>66</v>
      </c>
      <c r="B118" t="s">
        <v>68</v>
      </c>
      <c r="C118">
        <v>9</v>
      </c>
      <c r="D118" t="s">
        <v>84</v>
      </c>
      <c r="E118" t="s">
        <v>91</v>
      </c>
      <c r="F118" t="s">
        <v>79</v>
      </c>
      <c r="G118">
        <v>1.39617085966669E-3</v>
      </c>
      <c r="H118">
        <v>2E+20</v>
      </c>
      <c r="I118">
        <v>0</v>
      </c>
      <c r="J118">
        <v>1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1.9922591088506199E-4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1.8257956012972701E-3</v>
      </c>
      <c r="U118">
        <f>IF((ContinuousStatsTable[[#This Row],[RepsRequested]]&gt;1),ContinuousStatsTable[[#This Row],[HalfWidth]],ContinuousStatsTable[[#This Row],[BatchMeansHalfWidth]])</f>
        <v>3.2083970764496515E-4</v>
      </c>
    </row>
    <row r="119" spans="1:21" x14ac:dyDescent="0.3">
      <c r="A119" t="s">
        <v>66</v>
      </c>
      <c r="B119" t="s">
        <v>68</v>
      </c>
      <c r="C119">
        <v>10</v>
      </c>
      <c r="D119" t="s">
        <v>85</v>
      </c>
      <c r="E119" t="s">
        <v>86</v>
      </c>
      <c r="F119" t="s">
        <v>87</v>
      </c>
      <c r="G119">
        <v>0.725995399076098</v>
      </c>
      <c r="H119">
        <v>2E+20</v>
      </c>
      <c r="I119">
        <v>0</v>
      </c>
      <c r="J119">
        <v>1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ProjectOperador Maquina AInstantaneous UtilizationResource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0.71419407115187294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0.77930529942358095</v>
      </c>
      <c r="U119">
        <f>IF((ContinuousStatsTable[[#This Row],[RepsRequested]]&gt;1),ContinuousStatsTable[[#This Row],[HalfWidth]],ContinuousStatsTable[[#This Row],[BatchMeansHalfWidth]])</f>
        <v>1.6179738801761465E-2</v>
      </c>
    </row>
    <row r="120" spans="1:21" x14ac:dyDescent="0.3">
      <c r="A120" t="s">
        <v>66</v>
      </c>
      <c r="B120" t="s">
        <v>68</v>
      </c>
      <c r="C120">
        <v>10</v>
      </c>
      <c r="D120" t="s">
        <v>85</v>
      </c>
      <c r="E120" t="s">
        <v>88</v>
      </c>
      <c r="F120" t="s">
        <v>87</v>
      </c>
      <c r="G120">
        <v>0.725995399076098</v>
      </c>
      <c r="H120">
        <v>2E+20</v>
      </c>
      <c r="I120">
        <v>0</v>
      </c>
      <c r="J120">
        <v>1</v>
      </c>
      <c r="K120">
        <v>1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ProjectOperador Maquina ANumber BusyResource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0.75270459623689956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2.2617715250553498E-2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1.6179738801761465E-2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0.71419407115187294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0.77930529942358095</v>
      </c>
      <c r="U120">
        <f>IF((ContinuousStatsTable[[#This Row],[RepsRequested]]&gt;1),ContinuousStatsTable[[#This Row],[HalfWidth]],ContinuousStatsTable[[#This Row],[BatchMeansHalfWidth]])</f>
        <v>1.6179738801761465E-2</v>
      </c>
    </row>
    <row r="121" spans="1:21" x14ac:dyDescent="0.3">
      <c r="A121" t="s">
        <v>66</v>
      </c>
      <c r="B121" t="s">
        <v>68</v>
      </c>
      <c r="C121">
        <v>10</v>
      </c>
      <c r="D121" t="s">
        <v>85</v>
      </c>
      <c r="E121" t="s">
        <v>89</v>
      </c>
      <c r="F121" t="s">
        <v>87</v>
      </c>
      <c r="G121">
        <v>1</v>
      </c>
      <c r="H121">
        <v>2E+20</v>
      </c>
      <c r="I121">
        <v>1</v>
      </c>
      <c r="J121">
        <v>1</v>
      </c>
      <c r="K121">
        <v>1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ProjectOperador Maquina ANumber ScheduledResource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1</v>
      </c>
      <c r="U121">
        <f>IF((ContinuousStatsTable[[#This Row],[RepsRequested]]&gt;1),ContinuousStatsTable[[#This Row],[HalfWidth]],ContinuousStatsTable[[#This Row],[BatchMeansHalfWidth]])</f>
        <v>0</v>
      </c>
    </row>
    <row r="122" spans="1:21" x14ac:dyDescent="0.3">
      <c r="A122" t="s">
        <v>66</v>
      </c>
      <c r="B122" t="s">
        <v>68</v>
      </c>
      <c r="C122">
        <v>10</v>
      </c>
      <c r="D122" t="s">
        <v>69</v>
      </c>
      <c r="E122" t="s">
        <v>90</v>
      </c>
      <c r="F122" t="s">
        <v>71</v>
      </c>
      <c r="G122">
        <v>2.3997888404574201</v>
      </c>
      <c r="H122">
        <v>0.45069232936792603</v>
      </c>
      <c r="I122">
        <v>0</v>
      </c>
      <c r="J122">
        <v>10</v>
      </c>
      <c r="K122">
        <v>2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ProjectPECASWIPEntity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2.5818229074561265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0.25521994202673726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0.18257334807025916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2.2160183111888898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2.9760434619251201</v>
      </c>
      <c r="U122">
        <f>IF((ContinuousStatsTable[[#This Row],[RepsRequested]]&gt;1),ContinuousStatsTable[[#This Row],[HalfWidth]],ContinuousStatsTable[[#This Row],[BatchMeansHalfWidth]])</f>
        <v>0.18257334807025916</v>
      </c>
    </row>
    <row r="123" spans="1:21" x14ac:dyDescent="0.3">
      <c r="A123" t="s">
        <v>66</v>
      </c>
      <c r="B123" t="s">
        <v>68</v>
      </c>
      <c r="C123">
        <v>10</v>
      </c>
      <c r="D123" t="s">
        <v>77</v>
      </c>
      <c r="E123" t="s">
        <v>91</v>
      </c>
      <c r="F123" t="s">
        <v>79</v>
      </c>
      <c r="G123">
        <v>1.0277043859452999</v>
      </c>
      <c r="H123">
        <v>0.376583746005063</v>
      </c>
      <c r="I123">
        <v>0</v>
      </c>
      <c r="J123">
        <v>8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ProjectProcesso Maquina A.QueueNumber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1.1908106764382831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0.24665615888133285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0.17644718665595893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0.89935067686704995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1.6405547501891999</v>
      </c>
      <c r="U123">
        <f>IF((ContinuousStatsTable[[#This Row],[RepsRequested]]&gt;1),ContinuousStatsTable[[#This Row],[HalfWidth]],ContinuousStatsTable[[#This Row],[BatchMeansHalfWidth]])</f>
        <v>0.17644718665595893</v>
      </c>
    </row>
    <row r="124" spans="1:21" x14ac:dyDescent="0.3">
      <c r="A124" t="s">
        <v>66</v>
      </c>
      <c r="B124" t="s">
        <v>68</v>
      </c>
      <c r="C124">
        <v>10</v>
      </c>
      <c r="D124" t="s">
        <v>80</v>
      </c>
      <c r="E124" t="s">
        <v>91</v>
      </c>
      <c r="F124" t="s">
        <v>79</v>
      </c>
      <c r="G124">
        <v>1.09800626374465E-4</v>
      </c>
      <c r="H124">
        <v>2E+20</v>
      </c>
      <c r="I124">
        <v>0</v>
      </c>
      <c r="J124">
        <v>1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ProjectProcesso Reparo.QueueNumber WaitingQueue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2.4336341708480142E-4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2.0994561309482535E-4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1.5018604420562854E-4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2.2069141604617899E-5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6.2059425224605404E-4</v>
      </c>
      <c r="U124">
        <f>IF((ContinuousStatsTable[[#This Row],[RepsRequested]]&gt;1),ContinuousStatsTable[[#This Row],[HalfWidth]],ContinuousStatsTable[[#This Row],[BatchMeansHalfWidth]])</f>
        <v>1.5018604420562854E-4</v>
      </c>
    </row>
    <row r="125" spans="1:21" x14ac:dyDescent="0.3">
      <c r="A125" t="s">
        <v>66</v>
      </c>
      <c r="B125" t="s">
        <v>68</v>
      </c>
      <c r="C125">
        <v>10</v>
      </c>
      <c r="D125" t="s">
        <v>92</v>
      </c>
      <c r="E125" t="s">
        <v>86</v>
      </c>
      <c r="F125" t="s">
        <v>87</v>
      </c>
      <c r="G125">
        <v>0.211848867954925</v>
      </c>
      <c r="H125">
        <v>2.8021217687626301E-2</v>
      </c>
      <c r="I125">
        <v>0</v>
      </c>
      <c r="J125">
        <v>1</v>
      </c>
      <c r="K125">
        <v>0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ProjectReparadorInstantaneous UtilizationResource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0.17745123836948901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0.211848867954925</v>
      </c>
      <c r="U125">
        <f>IF((ContinuousStatsTable[[#This Row],[RepsRequested]]&gt;1),ContinuousStatsTable[[#This Row],[HalfWidth]],ContinuousStatsTable[[#This Row],[BatchMeansHalfWidth]])</f>
        <v>9.2063464017040682E-3</v>
      </c>
    </row>
    <row r="126" spans="1:21" x14ac:dyDescent="0.3">
      <c r="A126" t="s">
        <v>66</v>
      </c>
      <c r="B126" t="s">
        <v>68</v>
      </c>
      <c r="C126">
        <v>10</v>
      </c>
      <c r="D126" t="s">
        <v>92</v>
      </c>
      <c r="E126" t="s">
        <v>88</v>
      </c>
      <c r="F126" t="s">
        <v>87</v>
      </c>
      <c r="G126">
        <v>0.211848867954925</v>
      </c>
      <c r="H126">
        <v>2.8021217687626301E-2</v>
      </c>
      <c r="I126">
        <v>0</v>
      </c>
      <c r="J126">
        <v>1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ProjectReparadorNumber BusyResource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0.19913181661081703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1.2869584853188797E-2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9.2063464017040682E-3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0.17745123836948901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0.211848867954925</v>
      </c>
      <c r="U126">
        <f>IF((ContinuousStatsTable[[#This Row],[RepsRequested]]&gt;1),ContinuousStatsTable[[#This Row],[HalfWidth]],ContinuousStatsTable[[#This Row],[BatchMeansHalfWidth]])</f>
        <v>9.2063464017040682E-3</v>
      </c>
    </row>
    <row r="127" spans="1:21" x14ac:dyDescent="0.3">
      <c r="A127" t="s">
        <v>66</v>
      </c>
      <c r="B127" t="s">
        <v>68</v>
      </c>
      <c r="C127">
        <v>10</v>
      </c>
      <c r="D127" t="s">
        <v>92</v>
      </c>
      <c r="E127" t="s">
        <v>89</v>
      </c>
      <c r="F127" t="s">
        <v>87</v>
      </c>
      <c r="G127">
        <v>1</v>
      </c>
      <c r="H127">
        <v>2E+20</v>
      </c>
      <c r="I127">
        <v>1</v>
      </c>
      <c r="J127">
        <v>1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ProjectReparadorNumber ScheduledResource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</v>
      </c>
      <c r="U127">
        <f>IF((ContinuousStatsTable[[#This Row],[RepsRequested]]&gt;1),ContinuousStatsTable[[#This Row],[HalfWidth]],ContinuousStatsTable[[#This Row],[BatchMeansHalfWidth]])</f>
        <v>0</v>
      </c>
    </row>
    <row r="128" spans="1:21" x14ac:dyDescent="0.3">
      <c r="A128" t="s">
        <v>66</v>
      </c>
      <c r="B128" t="s">
        <v>68</v>
      </c>
      <c r="C128">
        <v>10</v>
      </c>
      <c r="D128" t="s">
        <v>81</v>
      </c>
      <c r="E128" t="s">
        <v>91</v>
      </c>
      <c r="F128" t="s">
        <v>79</v>
      </c>
      <c r="G128">
        <v>4.2658341998875297E-3</v>
      </c>
      <c r="H128">
        <v>2E+20</v>
      </c>
      <c r="I128">
        <v>0</v>
      </c>
      <c r="J128">
        <v>2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ProjectRequest 1.QueueNumber WaitingQueue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4.8190091230550045E-3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9.9355072791354948E-4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7.1074337464513838E-4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3.2120131992165002E-3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6.7743819151736204E-3</v>
      </c>
      <c r="U128">
        <f>IF((ContinuousStatsTable[[#This Row],[RepsRequested]]&gt;1),ContinuousStatsTable[[#This Row],[HalfWidth]],ContinuousStatsTable[[#This Row],[BatchMeansHalfWidth]])</f>
        <v>7.1074337464513838E-4</v>
      </c>
    </row>
    <row r="129" spans="1:21" x14ac:dyDescent="0.3">
      <c r="A129" t="s">
        <v>66</v>
      </c>
      <c r="B129" t="s">
        <v>68</v>
      </c>
      <c r="C129">
        <v>10</v>
      </c>
      <c r="D129" t="s">
        <v>82</v>
      </c>
      <c r="E129" t="s">
        <v>91</v>
      </c>
      <c r="F129" t="s">
        <v>79</v>
      </c>
      <c r="G129">
        <v>1.6631426259607401E-3</v>
      </c>
      <c r="H129">
        <v>2E+20</v>
      </c>
      <c r="I129">
        <v>0</v>
      </c>
      <c r="J129">
        <v>1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ProjectRequest 2.QueueNumber WaitingQueue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1.5696910266493301E-3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6.0189584441635625E-4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4.3057034897828515E-4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7.20972505524855E-4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2.83347119475641E-3</v>
      </c>
      <c r="U129">
        <f>IF((ContinuousStatsTable[[#This Row],[RepsRequested]]&gt;1),ContinuousStatsTable[[#This Row],[HalfWidth]],ContinuousStatsTable[[#This Row],[BatchMeansHalfWidth]])</f>
        <v>4.3057034897828515E-4</v>
      </c>
    </row>
    <row r="130" spans="1:21" x14ac:dyDescent="0.3">
      <c r="A130" t="s">
        <v>66</v>
      </c>
      <c r="B130" t="s">
        <v>68</v>
      </c>
      <c r="C130">
        <v>10</v>
      </c>
      <c r="D130" t="s">
        <v>83</v>
      </c>
      <c r="E130" t="s">
        <v>91</v>
      </c>
      <c r="F130" t="s">
        <v>79</v>
      </c>
      <c r="G130">
        <v>1.7506144275387799E-3</v>
      </c>
      <c r="H130">
        <v>2E+20</v>
      </c>
      <c r="I130">
        <v>0</v>
      </c>
      <c r="J130">
        <v>1</v>
      </c>
      <c r="K130">
        <v>0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ProjectRequest 3.QueueNumber WaitingQueue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1.2093263692077995E-3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3.991646065888812E-4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2.8554515794241967E-4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3.9608330686738202E-4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1.78688869193974E-3</v>
      </c>
      <c r="U130">
        <f>IF((ContinuousStatsTable[[#This Row],[RepsRequested]]&gt;1),ContinuousStatsTable[[#This Row],[HalfWidth]],ContinuousStatsTable[[#This Row],[BatchMeansHalfWidth]])</f>
        <v>2.8554515794241967E-4</v>
      </c>
    </row>
    <row r="131" spans="1:21" x14ac:dyDescent="0.3">
      <c r="A131" t="s">
        <v>66</v>
      </c>
      <c r="B131" t="s">
        <v>68</v>
      </c>
      <c r="C131">
        <v>10</v>
      </c>
      <c r="D131" t="s">
        <v>84</v>
      </c>
      <c r="E131" t="s">
        <v>91</v>
      </c>
      <c r="F131" t="s">
        <v>79</v>
      </c>
      <c r="G131">
        <v>1.8257956012972701E-3</v>
      </c>
      <c r="H131">
        <v>2E+20</v>
      </c>
      <c r="I131">
        <v>0</v>
      </c>
      <c r="J131">
        <v>1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ProjectRequest 4.QueueNumber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1.2386545997793272E-3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4.4850298496750961E-4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3.2083970764496515E-4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1.9922591088506199E-4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1.8257956012972701E-3</v>
      </c>
      <c r="U131">
        <f>IF((ContinuousStatsTable[[#This Row],[RepsRequested]]&gt;1),ContinuousStatsTable[[#This Row],[HalfWidth]],ContinuousStatsTable[[#This Row],[BatchMeansHalfWidth]])</f>
        <v>3.2083970764496515E-4</v>
      </c>
    </row>
  </sheetData>
  <phoneticPr fontId="2" type="noConversion"/>
  <conditionalFormatting sqref="H2:H131">
    <cfRule type="expression" dxfId="10" priority="9">
      <formula>H2=200000000000000000000</formula>
    </cfRule>
  </conditionalFormatting>
  <conditionalFormatting sqref="H2:H131">
    <cfRule type="expression" dxfId="9" priority="7">
      <formula>H2=300000000000000000000</formula>
    </cfRule>
  </conditionalFormatting>
  <conditionalFormatting sqref="M2:U131">
    <cfRule type="expression" dxfId="8" priority="5">
      <formula>MOD(ROW(),2)=0</formula>
    </cfRule>
  </conditionalFormatting>
  <conditionalFormatting sqref="U2:U131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131 U2:U131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71"/>
  <sheetViews>
    <sheetView workbookViewId="0">
      <selection activeCell="H2" sqref="H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35.664062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75.44140625" bestFit="1" customWidth="1"/>
    <col min="10" max="10" width="16.21875" bestFit="1" customWidth="1"/>
    <col min="11" max="11" width="12" customWidth="1"/>
    <col min="12" max="12" width="19" bestFit="1" customWidth="1"/>
    <col min="13" max="13" width="19.441406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93</v>
      </c>
      <c r="E2" t="s">
        <v>94</v>
      </c>
      <c r="F2" t="s">
        <v>87</v>
      </c>
      <c r="G2">
        <v>503</v>
      </c>
      <c r="H2">
        <v>0</v>
      </c>
      <c r="I2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503.6</v>
      </c>
      <c r="L2" cm="1">
        <f t="array" ref="L2">IFERROR(_xlfn.STDEV.S(IF((OutputTable[GroupByKey]=OutputTable[[#This Row],[GroupByKey]]),(OutputTable[GroupByKey]=OutputTable[[#This Row],[GroupByKey]])*OutputTable[RecordedValue])),0)</f>
        <v>15.04954779682396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2" cm="1">
        <f t="array" ref="O2">MIN(IF((OutputTable[GroupByKey]=OutputTable[[#This Row],[GroupByKey]]),(OutputTable[GroupByKey]=OutputTable[[#This Row],[GroupByKey]])*OutputTable[RecordedValue]))</f>
        <v>471</v>
      </c>
      <c r="P2" cm="1">
        <f t="array" ref="P2">MAX(IF((OutputTable[GroupByKey]=OutputTable[[#This Row],[GroupByKey]]),(OutputTable[GroupByKey]=OutputTable[[#This Row],[GroupByKey]])*OutputTable[RecordedValue]))</f>
        <v>522</v>
      </c>
    </row>
    <row r="3" spans="1:16" x14ac:dyDescent="0.3">
      <c r="A3" t="s">
        <v>66</v>
      </c>
      <c r="B3" t="s">
        <v>68</v>
      </c>
      <c r="C3">
        <v>1</v>
      </c>
      <c r="D3" t="s">
        <v>95</v>
      </c>
      <c r="E3" t="s">
        <v>96</v>
      </c>
      <c r="F3" t="s">
        <v>87</v>
      </c>
      <c r="G3">
        <v>0.75583120438763196</v>
      </c>
      <c r="H3">
        <v>0</v>
      </c>
      <c r="I3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0.75270459623689956</v>
      </c>
      <c r="L3" cm="1">
        <f t="array" ref="L3">IFERROR(_xlfn.STDEV.S(IF((OutputTable[GroupByKey]=OutputTable[[#This Row],[GroupByKey]]),(OutputTable[GroupByKey]=OutputTable[[#This Row],[GroupByKey]])*OutputTable[RecordedValue])),0)</f>
        <v>2.2617715250553498E-2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3" cm="1">
        <f t="array" ref="O3">MIN(IF((OutputTable[GroupByKey]=OutputTable[[#This Row],[GroupByKey]]),(OutputTable[GroupByKey]=OutputTable[[#This Row],[GroupByKey]])*OutputTable[RecordedValue]))</f>
        <v>0.71419407115187294</v>
      </c>
      <c r="P3" cm="1">
        <f t="array" ref="P3">MAX(IF((OutputTable[GroupByKey]=OutputTable[[#This Row],[GroupByKey]]),(OutputTable[GroupByKey]=OutputTable[[#This Row],[GroupByKey]])*OutputTable[RecordedValue]))</f>
        <v>0.77930529942358095</v>
      </c>
    </row>
    <row r="4" spans="1:16" x14ac:dyDescent="0.3">
      <c r="A4" t="s">
        <v>66</v>
      </c>
      <c r="B4" t="s">
        <v>68</v>
      </c>
      <c r="C4">
        <v>1</v>
      </c>
      <c r="D4" t="s">
        <v>97</v>
      </c>
      <c r="E4" t="s">
        <v>98</v>
      </c>
      <c r="F4" t="s">
        <v>71</v>
      </c>
      <c r="G4">
        <v>505</v>
      </c>
      <c r="H4">
        <v>0</v>
      </c>
      <c r="I4" t="str">
        <f>OutputTable[[#This Row],[ProjectName]]&amp;OutputTable[[#This Row],[Name]]&amp;OutputTable[[#This Row],[Type]]&amp;OutputTable[[#This Row],[Source]]</f>
        <v>Unnamed ProjectPECAS.NumberInNumber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504.6</v>
      </c>
      <c r="L4" cm="1">
        <f t="array" ref="L4">IFERROR(_xlfn.STDEV.S(IF((OutputTable[GroupByKey]=OutputTable[[#This Row],[GroupByKey]]),(OutputTable[GroupByKey]=OutputTable[[#This Row],[GroupByKey]])*OutputTable[RecordedValue])),0)</f>
        <v>15.414279094398156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4" cm="1">
        <f t="array" ref="O4">MIN(IF((OutputTable[GroupByKey]=OutputTable[[#This Row],[GroupByKey]]),(OutputTable[GroupByKey]=OutputTable[[#This Row],[GroupByKey]])*OutputTable[RecordedValue]))</f>
        <v>471</v>
      </c>
      <c r="P4" cm="1">
        <f t="array" ref="P4">MAX(IF((OutputTable[GroupByKey]=OutputTable[[#This Row],[GroupByKey]]),(OutputTable[GroupByKey]=OutputTable[[#This Row],[GroupByKey]])*OutputTable[RecordedValue]))</f>
        <v>522</v>
      </c>
    </row>
    <row r="5" spans="1:16" x14ac:dyDescent="0.3">
      <c r="A5" t="s">
        <v>66</v>
      </c>
      <c r="B5" t="s">
        <v>68</v>
      </c>
      <c r="C5">
        <v>1</v>
      </c>
      <c r="D5" t="s">
        <v>99</v>
      </c>
      <c r="E5" t="s">
        <v>100</v>
      </c>
      <c r="F5" t="s">
        <v>71</v>
      </c>
      <c r="G5">
        <v>501</v>
      </c>
      <c r="H5">
        <v>0</v>
      </c>
      <c r="I5" t="str">
        <f>OutputTable[[#This Row],[ProjectName]]&amp;OutputTable[[#This Row],[Name]]&amp;OutputTable[[#This Row],[Type]]&amp;OutputTable[[#This Row],[Source]]</f>
        <v>Unnamed ProjectPECAS.NumberOutNumber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502.3</v>
      </c>
      <c r="L5" cm="1">
        <f t="array" ref="L5">IFERROR(_xlfn.STDEV.S(IF((OutputTable[GroupByKey]=OutputTable[[#This Row],[GroupByKey]]),(OutputTable[GroupByKey]=OutputTable[[#This Row],[GroupByKey]])*OutputTable[RecordedValue])),0)</f>
        <v>15.070574714396999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5" cm="1">
        <f t="array" ref="O5">MIN(IF((OutputTable[GroupByKey]=OutputTable[[#This Row],[GroupByKey]]),(OutputTable[GroupByKey]=OutputTable[[#This Row],[GroupByKey]])*OutputTable[RecordedValue]))</f>
        <v>470</v>
      </c>
      <c r="P5" cm="1">
        <f t="array" ref="P5">MAX(IF((OutputTable[GroupByKey]=OutputTable[[#This Row],[GroupByKey]]),(OutputTable[GroupByKey]=OutputTable[[#This Row],[GroupByKey]])*OutputTable[RecordedValue]))</f>
        <v>521</v>
      </c>
    </row>
    <row r="6" spans="1:16" x14ac:dyDescent="0.3">
      <c r="A6" t="s">
        <v>66</v>
      </c>
      <c r="B6" t="s">
        <v>68</v>
      </c>
      <c r="C6">
        <v>1</v>
      </c>
      <c r="D6" t="s">
        <v>101</v>
      </c>
      <c r="E6" t="s">
        <v>94</v>
      </c>
      <c r="F6" t="s">
        <v>87</v>
      </c>
      <c r="G6">
        <v>195</v>
      </c>
      <c r="H6">
        <v>0</v>
      </c>
      <c r="I6" t="str">
        <f>OutputTable[[#This Row],[ProjectName]]&amp;OutputTable[[#This Row],[Name]]&amp;OutputTable[[#This Row],[Type]]&amp;OutputTable[[#This Row],[Source]]</f>
        <v>Unnamed ProjectReparador.NumberSeizedTotal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199.4</v>
      </c>
      <c r="L6" cm="1">
        <f t="array" ref="L6">IFERROR(_xlfn.STDEV.S(IF((OutputTable[GroupByKey]=OutputTable[[#This Row],[GroupByKey]]),(OutputTable[GroupByKey]=OutputTable[[#This Row],[GroupByKey]])*OutputTable[RecordedValue])),0)</f>
        <v>13.623509092741122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6" cm="1">
        <f t="array" ref="O6">MIN(IF((OutputTable[GroupByKey]=OutputTable[[#This Row],[GroupByKey]]),(OutputTable[GroupByKey]=OutputTable[[#This Row],[GroupByKey]])*OutputTable[RecordedValue]))</f>
        <v>177</v>
      </c>
      <c r="P6" cm="1">
        <f t="array" ref="P6">MAX(IF((OutputTable[GroupByKey]=OutputTable[[#This Row],[GroupByKey]]),(OutputTable[GroupByKey]=OutputTable[[#This Row],[GroupByKey]])*OutputTable[RecordedValue]))</f>
        <v>213</v>
      </c>
    </row>
    <row r="7" spans="1:16" x14ac:dyDescent="0.3">
      <c r="A7" t="s">
        <v>66</v>
      </c>
      <c r="B7" t="s">
        <v>68</v>
      </c>
      <c r="C7">
        <v>1</v>
      </c>
      <c r="D7" t="s">
        <v>102</v>
      </c>
      <c r="E7" t="s">
        <v>96</v>
      </c>
      <c r="F7" t="s">
        <v>87</v>
      </c>
      <c r="G7">
        <v>0.19490866254945699</v>
      </c>
      <c r="H7">
        <v>0</v>
      </c>
      <c r="I7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0.19913181661081703</v>
      </c>
      <c r="L7" cm="1">
        <f t="array" ref="L7">IFERROR(_xlfn.STDEV.S(IF((OutputTable[GroupByKey]=OutputTable[[#This Row],[GroupByKey]]),(OutputTable[GroupByKey]=OutputTable[[#This Row],[GroupByKey]])*OutputTable[RecordedValue])),0)</f>
        <v>1.2869584853188797E-2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7" cm="1">
        <f t="array" ref="O7">MIN(IF((OutputTable[GroupByKey]=OutputTable[[#This Row],[GroupByKey]]),(OutputTable[GroupByKey]=OutputTable[[#This Row],[GroupByKey]])*OutputTable[RecordedValue]))</f>
        <v>0.17745123836948901</v>
      </c>
      <c r="P7" cm="1">
        <f t="array" ref="P7">MAX(IF((OutputTable[GroupByKey]=OutputTable[[#This Row],[GroupByKey]]),(OutputTable[GroupByKey]=OutputTable[[#This Row],[GroupByKey]])*OutputTable[RecordedValue]))</f>
        <v>0.211848867954925</v>
      </c>
    </row>
    <row r="8" spans="1:16" x14ac:dyDescent="0.3">
      <c r="A8" t="s">
        <v>66</v>
      </c>
      <c r="B8" t="s">
        <v>68</v>
      </c>
      <c r="C8">
        <v>1</v>
      </c>
      <c r="D8" t="s">
        <v>103</v>
      </c>
      <c r="E8" t="s">
        <v>100</v>
      </c>
      <c r="F8" t="s">
        <v>104</v>
      </c>
      <c r="G8">
        <v>501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502.3</v>
      </c>
      <c r="L8" cm="1">
        <f t="array" ref="L8">IFERROR(_xlfn.STDEV.S(IF((OutputTable[GroupByKey]=OutputTable[[#This Row],[GroupByKey]]),(OutputTable[GroupByKey]=OutputTable[[#This Row],[GroupByKey]])*OutputTable[RecordedValue])),0)</f>
        <v>15.070574714396999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8" cm="1">
        <f t="array" ref="O8">MIN(IF((OutputTable[GroupByKey]=OutputTable[[#This Row],[GroupByKey]]),(OutputTable[GroupByKey]=OutputTable[[#This Row],[GroupByKey]])*OutputTable[RecordedValue]))</f>
        <v>470</v>
      </c>
      <c r="P8" cm="1">
        <f t="array" ref="P8">MAX(IF((OutputTable[GroupByKey]=OutputTable[[#This Row],[GroupByKey]]),(OutputTable[GroupByKey]=OutputTable[[#This Row],[GroupByKey]])*OutputTable[RecordedValue]))</f>
        <v>521</v>
      </c>
    </row>
    <row r="9" spans="1:16" x14ac:dyDescent="0.3">
      <c r="A9" t="s">
        <v>66</v>
      </c>
      <c r="B9" t="s">
        <v>68</v>
      </c>
      <c r="C9">
        <v>2</v>
      </c>
      <c r="D9" t="s">
        <v>93</v>
      </c>
      <c r="E9" t="s">
        <v>94</v>
      </c>
      <c r="F9" t="s">
        <v>87</v>
      </c>
      <c r="G9">
        <v>515</v>
      </c>
      <c r="H9">
        <v>0</v>
      </c>
      <c r="I9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503.6</v>
      </c>
      <c r="L9" cm="1">
        <f t="array" ref="L9">IFERROR(_xlfn.STDEV.S(IF((OutputTable[GroupByKey]=OutputTable[[#This Row],[GroupByKey]]),(OutputTable[GroupByKey]=OutputTable[[#This Row],[GroupByKey]])*OutputTable[RecordedValue])),0)</f>
        <v>15.04954779682396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9" cm="1">
        <f t="array" ref="O9">MIN(IF((OutputTable[GroupByKey]=OutputTable[[#This Row],[GroupByKey]]),(OutputTable[GroupByKey]=OutputTable[[#This Row],[GroupByKey]])*OutputTable[RecordedValue]))</f>
        <v>471</v>
      </c>
      <c r="P9" cm="1">
        <f t="array" ref="P9">MAX(IF((OutputTable[GroupByKey]=OutputTable[[#This Row],[GroupByKey]]),(OutputTable[GroupByKey]=OutputTable[[#This Row],[GroupByKey]])*OutputTable[RecordedValue]))</f>
        <v>522</v>
      </c>
    </row>
    <row r="10" spans="1:16" x14ac:dyDescent="0.3">
      <c r="A10" t="s">
        <v>66</v>
      </c>
      <c r="B10" t="s">
        <v>68</v>
      </c>
      <c r="C10">
        <v>2</v>
      </c>
      <c r="D10" t="s">
        <v>95</v>
      </c>
      <c r="E10" t="s">
        <v>96</v>
      </c>
      <c r="F10" t="s">
        <v>87</v>
      </c>
      <c r="G10">
        <v>0.77256234134644597</v>
      </c>
      <c r="H10">
        <v>0</v>
      </c>
      <c r="I10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0.75270459623689956</v>
      </c>
      <c r="L10" cm="1">
        <f t="array" ref="L10">IFERROR(_xlfn.STDEV.S(IF((OutputTable[GroupByKey]=OutputTable[[#This Row],[GroupByKey]]),(OutputTable[GroupByKey]=OutputTable[[#This Row],[GroupByKey]])*OutputTable[RecordedValue])),0)</f>
        <v>2.2617715250553498E-2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10" cm="1">
        <f t="array" ref="O10">MIN(IF((OutputTable[GroupByKey]=OutputTable[[#This Row],[GroupByKey]]),(OutputTable[GroupByKey]=OutputTable[[#This Row],[GroupByKey]])*OutputTable[RecordedValue]))</f>
        <v>0.71419407115187294</v>
      </c>
      <c r="P10" cm="1">
        <f t="array" ref="P10">MAX(IF((OutputTable[GroupByKey]=OutputTable[[#This Row],[GroupByKey]]),(OutputTable[GroupByKey]=OutputTable[[#This Row],[GroupByKey]])*OutputTable[RecordedValue]))</f>
        <v>0.77930529942358095</v>
      </c>
    </row>
    <row r="11" spans="1:16" x14ac:dyDescent="0.3">
      <c r="A11" t="s">
        <v>66</v>
      </c>
      <c r="B11" t="s">
        <v>68</v>
      </c>
      <c r="C11">
        <v>2</v>
      </c>
      <c r="D11" t="s">
        <v>97</v>
      </c>
      <c r="E11" t="s">
        <v>98</v>
      </c>
      <c r="F11" t="s">
        <v>71</v>
      </c>
      <c r="G11">
        <v>520</v>
      </c>
      <c r="H11">
        <v>0</v>
      </c>
      <c r="I11" t="str">
        <f>OutputTable[[#This Row],[ProjectName]]&amp;OutputTable[[#This Row],[Name]]&amp;OutputTable[[#This Row],[Type]]&amp;OutputTable[[#This Row],[Source]]</f>
        <v>Unnamed ProjectPECAS.NumberInNumber InEntity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504.6</v>
      </c>
      <c r="L11" cm="1">
        <f t="array" ref="L11">IFERROR(_xlfn.STDEV.S(IF((OutputTable[GroupByKey]=OutputTable[[#This Row],[GroupByKey]]),(OutputTable[GroupByKey]=OutputTable[[#This Row],[GroupByKey]])*OutputTable[RecordedValue])),0)</f>
        <v>15.414279094398156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11" cm="1">
        <f t="array" ref="O11">MIN(IF((OutputTable[GroupByKey]=OutputTable[[#This Row],[GroupByKey]]),(OutputTable[GroupByKey]=OutputTable[[#This Row],[GroupByKey]])*OutputTable[RecordedValue]))</f>
        <v>471</v>
      </c>
      <c r="P11" cm="1">
        <f t="array" ref="P11">MAX(IF((OutputTable[GroupByKey]=OutputTable[[#This Row],[GroupByKey]]),(OutputTable[GroupByKey]=OutputTable[[#This Row],[GroupByKey]])*OutputTable[RecordedValue]))</f>
        <v>522</v>
      </c>
    </row>
    <row r="12" spans="1:16" x14ac:dyDescent="0.3">
      <c r="A12" t="s">
        <v>66</v>
      </c>
      <c r="B12" t="s">
        <v>68</v>
      </c>
      <c r="C12">
        <v>2</v>
      </c>
      <c r="D12" t="s">
        <v>99</v>
      </c>
      <c r="E12" t="s">
        <v>100</v>
      </c>
      <c r="F12" t="s">
        <v>71</v>
      </c>
      <c r="G12">
        <v>512</v>
      </c>
      <c r="H12">
        <v>0</v>
      </c>
      <c r="I12" t="str">
        <f>OutputTable[[#This Row],[ProjectName]]&amp;OutputTable[[#This Row],[Name]]&amp;OutputTable[[#This Row],[Type]]&amp;OutputTable[[#This Row],[Source]]</f>
        <v>Unnamed ProjectPECAS.NumberOutNumber OutEntity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502.3</v>
      </c>
      <c r="L12" cm="1">
        <f t="array" ref="L12">IFERROR(_xlfn.STDEV.S(IF((OutputTable[GroupByKey]=OutputTable[[#This Row],[GroupByKey]]),(OutputTable[GroupByKey]=OutputTable[[#This Row],[GroupByKey]])*OutputTable[RecordedValue])),0)</f>
        <v>15.070574714396999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12" cm="1">
        <f t="array" ref="O12">MIN(IF((OutputTable[GroupByKey]=OutputTable[[#This Row],[GroupByKey]]),(OutputTable[GroupByKey]=OutputTable[[#This Row],[GroupByKey]])*OutputTable[RecordedValue]))</f>
        <v>470</v>
      </c>
      <c r="P12" cm="1">
        <f t="array" ref="P12">MAX(IF((OutputTable[GroupByKey]=OutputTable[[#This Row],[GroupByKey]]),(OutputTable[GroupByKey]=OutputTable[[#This Row],[GroupByKey]])*OutputTable[RecordedValue]))</f>
        <v>521</v>
      </c>
    </row>
    <row r="13" spans="1:16" x14ac:dyDescent="0.3">
      <c r="A13" t="s">
        <v>66</v>
      </c>
      <c r="B13" t="s">
        <v>68</v>
      </c>
      <c r="C13">
        <v>2</v>
      </c>
      <c r="D13" t="s">
        <v>101</v>
      </c>
      <c r="E13" t="s">
        <v>94</v>
      </c>
      <c r="F13" t="s">
        <v>87</v>
      </c>
      <c r="G13">
        <v>210</v>
      </c>
      <c r="H13">
        <v>0</v>
      </c>
      <c r="I13" t="str">
        <f>OutputTable[[#This Row],[ProjectName]]&amp;OutputTable[[#This Row],[Name]]&amp;OutputTable[[#This Row],[Type]]&amp;OutputTable[[#This Row],[Source]]</f>
        <v>Unnamed ProjectReparador.NumberSeizedTotal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199.4</v>
      </c>
      <c r="L13" cm="1">
        <f t="array" ref="L13">IFERROR(_xlfn.STDEV.S(IF((OutputTable[GroupByKey]=OutputTable[[#This Row],[GroupByKey]]),(OutputTable[GroupByKey]=OutputTable[[#This Row],[GroupByKey]])*OutputTable[RecordedValue])),0)</f>
        <v>13.623509092741122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13" cm="1">
        <f t="array" ref="O13">MIN(IF((OutputTable[GroupByKey]=OutputTable[[#This Row],[GroupByKey]]),(OutputTable[GroupByKey]=OutputTable[[#This Row],[GroupByKey]])*OutputTable[RecordedValue]))</f>
        <v>177</v>
      </c>
      <c r="P13" cm="1">
        <f t="array" ref="P13">MAX(IF((OutputTable[GroupByKey]=OutputTable[[#This Row],[GroupByKey]]),(OutputTable[GroupByKey]=OutputTable[[#This Row],[GroupByKey]])*OutputTable[RecordedValue]))</f>
        <v>213</v>
      </c>
    </row>
    <row r="14" spans="1:16" x14ac:dyDescent="0.3">
      <c r="A14" t="s">
        <v>66</v>
      </c>
      <c r="B14" t="s">
        <v>68</v>
      </c>
      <c r="C14">
        <v>2</v>
      </c>
      <c r="D14" t="s">
        <v>102</v>
      </c>
      <c r="E14" t="s">
        <v>96</v>
      </c>
      <c r="F14" t="s">
        <v>87</v>
      </c>
      <c r="G14">
        <v>0.20937243642484701</v>
      </c>
      <c r="H14">
        <v>0</v>
      </c>
      <c r="I14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0.19913181661081703</v>
      </c>
      <c r="L14" cm="1">
        <f t="array" ref="L14">IFERROR(_xlfn.STDEV.S(IF((OutputTable[GroupByKey]=OutputTable[[#This Row],[GroupByKey]]),(OutputTable[GroupByKey]=OutputTable[[#This Row],[GroupByKey]])*OutputTable[RecordedValue])),0)</f>
        <v>1.2869584853188797E-2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14" cm="1">
        <f t="array" ref="O14">MIN(IF((OutputTable[GroupByKey]=OutputTable[[#This Row],[GroupByKey]]),(OutputTable[GroupByKey]=OutputTable[[#This Row],[GroupByKey]])*OutputTable[RecordedValue]))</f>
        <v>0.17745123836948901</v>
      </c>
      <c r="P14" cm="1">
        <f t="array" ref="P14">MAX(IF((OutputTable[GroupByKey]=OutputTable[[#This Row],[GroupByKey]]),(OutputTable[GroupByKey]=OutputTable[[#This Row],[GroupByKey]])*OutputTable[RecordedValue]))</f>
        <v>0.211848867954925</v>
      </c>
    </row>
    <row r="15" spans="1:16" x14ac:dyDescent="0.3">
      <c r="A15" t="s">
        <v>66</v>
      </c>
      <c r="B15" t="s">
        <v>68</v>
      </c>
      <c r="C15">
        <v>2</v>
      </c>
      <c r="D15" t="s">
        <v>103</v>
      </c>
      <c r="E15" t="s">
        <v>100</v>
      </c>
      <c r="F15" t="s">
        <v>104</v>
      </c>
      <c r="G15">
        <v>512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502.3</v>
      </c>
      <c r="L15" cm="1">
        <f t="array" ref="L15">IFERROR(_xlfn.STDEV.S(IF((OutputTable[GroupByKey]=OutputTable[[#This Row],[GroupByKey]]),(OutputTable[GroupByKey]=OutputTable[[#This Row],[GroupByKey]])*OutputTable[RecordedValue])),0)</f>
        <v>15.070574714396999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15" cm="1">
        <f t="array" ref="O15">MIN(IF((OutputTable[GroupByKey]=OutputTable[[#This Row],[GroupByKey]]),(OutputTable[GroupByKey]=OutputTable[[#This Row],[GroupByKey]])*OutputTable[RecordedValue]))</f>
        <v>470</v>
      </c>
      <c r="P15" cm="1">
        <f t="array" ref="P15">MAX(IF((OutputTable[GroupByKey]=OutputTable[[#This Row],[GroupByKey]]),(OutputTable[GroupByKey]=OutputTable[[#This Row],[GroupByKey]])*OutputTable[RecordedValue]))</f>
        <v>521</v>
      </c>
    </row>
    <row r="16" spans="1:16" x14ac:dyDescent="0.3">
      <c r="A16" t="s">
        <v>66</v>
      </c>
      <c r="B16" t="s">
        <v>68</v>
      </c>
      <c r="C16">
        <v>3</v>
      </c>
      <c r="D16" t="s">
        <v>93</v>
      </c>
      <c r="E16" t="s">
        <v>94</v>
      </c>
      <c r="F16" t="s">
        <v>87</v>
      </c>
      <c r="G16">
        <v>517</v>
      </c>
      <c r="H16">
        <v>0</v>
      </c>
      <c r="I16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503.6</v>
      </c>
      <c r="L16" cm="1">
        <f t="array" ref="L16">IFERROR(_xlfn.STDEV.S(IF((OutputTable[GroupByKey]=OutputTable[[#This Row],[GroupByKey]]),(OutputTable[GroupByKey]=OutputTable[[#This Row],[GroupByKey]])*OutputTable[RecordedValue])),0)</f>
        <v>15.04954779682396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16" cm="1">
        <f t="array" ref="O16">MIN(IF((OutputTable[GroupByKey]=OutputTable[[#This Row],[GroupByKey]]),(OutputTable[GroupByKey]=OutputTable[[#This Row],[GroupByKey]])*OutputTable[RecordedValue]))</f>
        <v>471</v>
      </c>
      <c r="P16" cm="1">
        <f t="array" ref="P16">MAX(IF((OutputTable[GroupByKey]=OutputTable[[#This Row],[GroupByKey]]),(OutputTable[GroupByKey]=OutputTable[[#This Row],[GroupByKey]])*OutputTable[RecordedValue]))</f>
        <v>522</v>
      </c>
    </row>
    <row r="17" spans="1:16" x14ac:dyDescent="0.3">
      <c r="A17" t="s">
        <v>66</v>
      </c>
      <c r="B17" t="s">
        <v>68</v>
      </c>
      <c r="C17">
        <v>3</v>
      </c>
      <c r="D17" t="s">
        <v>95</v>
      </c>
      <c r="E17" t="s">
        <v>96</v>
      </c>
      <c r="F17" t="s">
        <v>87</v>
      </c>
      <c r="G17">
        <v>0.777818399763752</v>
      </c>
      <c r="H17">
        <v>0</v>
      </c>
      <c r="I17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0.75270459623689956</v>
      </c>
      <c r="L17" cm="1">
        <f t="array" ref="L17">IFERROR(_xlfn.STDEV.S(IF((OutputTable[GroupByKey]=OutputTable[[#This Row],[GroupByKey]]),(OutputTable[GroupByKey]=OutputTable[[#This Row],[GroupByKey]])*OutputTable[RecordedValue])),0)</f>
        <v>2.2617715250553498E-2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17" cm="1">
        <f t="array" ref="O17">MIN(IF((OutputTable[GroupByKey]=OutputTable[[#This Row],[GroupByKey]]),(OutputTable[GroupByKey]=OutputTable[[#This Row],[GroupByKey]])*OutputTable[RecordedValue]))</f>
        <v>0.71419407115187294</v>
      </c>
      <c r="P17" cm="1">
        <f t="array" ref="P17">MAX(IF((OutputTable[GroupByKey]=OutputTable[[#This Row],[GroupByKey]]),(OutputTable[GroupByKey]=OutputTable[[#This Row],[GroupByKey]])*OutputTable[RecordedValue]))</f>
        <v>0.77930529942358095</v>
      </c>
    </row>
    <row r="18" spans="1:16" x14ac:dyDescent="0.3">
      <c r="A18" t="s">
        <v>66</v>
      </c>
      <c r="B18" t="s">
        <v>68</v>
      </c>
      <c r="C18">
        <v>3</v>
      </c>
      <c r="D18" t="s">
        <v>97</v>
      </c>
      <c r="E18" t="s">
        <v>98</v>
      </c>
      <c r="F18" t="s">
        <v>71</v>
      </c>
      <c r="G18">
        <v>517</v>
      </c>
      <c r="H18">
        <v>0</v>
      </c>
      <c r="I18" t="str">
        <f>OutputTable[[#This Row],[ProjectName]]&amp;OutputTable[[#This Row],[Name]]&amp;OutputTable[[#This Row],[Type]]&amp;OutputTable[[#This Row],[Source]]</f>
        <v>Unnamed ProjectPECAS.NumberInNumber InEntity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504.6</v>
      </c>
      <c r="L18" cm="1">
        <f t="array" ref="L18">IFERROR(_xlfn.STDEV.S(IF((OutputTable[GroupByKey]=OutputTable[[#This Row],[GroupByKey]]),(OutputTable[GroupByKey]=OutputTable[[#This Row],[GroupByKey]])*OutputTable[RecordedValue])),0)</f>
        <v>15.414279094398156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18" cm="1">
        <f t="array" ref="O18">MIN(IF((OutputTable[GroupByKey]=OutputTable[[#This Row],[GroupByKey]]),(OutputTable[GroupByKey]=OutputTable[[#This Row],[GroupByKey]])*OutputTable[RecordedValue]))</f>
        <v>471</v>
      </c>
      <c r="P18" cm="1">
        <f t="array" ref="P18">MAX(IF((OutputTable[GroupByKey]=OutputTable[[#This Row],[GroupByKey]]),(OutputTable[GroupByKey]=OutputTable[[#This Row],[GroupByKey]])*OutputTable[RecordedValue]))</f>
        <v>522</v>
      </c>
    </row>
    <row r="19" spans="1:16" x14ac:dyDescent="0.3">
      <c r="A19" t="s">
        <v>66</v>
      </c>
      <c r="B19" t="s">
        <v>68</v>
      </c>
      <c r="C19">
        <v>3</v>
      </c>
      <c r="D19" t="s">
        <v>99</v>
      </c>
      <c r="E19" t="s">
        <v>100</v>
      </c>
      <c r="F19" t="s">
        <v>71</v>
      </c>
      <c r="G19">
        <v>517</v>
      </c>
      <c r="H19">
        <v>0</v>
      </c>
      <c r="I19" t="str">
        <f>OutputTable[[#This Row],[ProjectName]]&amp;OutputTable[[#This Row],[Name]]&amp;OutputTable[[#This Row],[Type]]&amp;OutputTable[[#This Row],[Source]]</f>
        <v>Unnamed ProjectPECAS.NumberOutNumber OutEntity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502.3</v>
      </c>
      <c r="L19" cm="1">
        <f t="array" ref="L19">IFERROR(_xlfn.STDEV.S(IF((OutputTable[GroupByKey]=OutputTable[[#This Row],[GroupByKey]]),(OutputTable[GroupByKey]=OutputTable[[#This Row],[GroupByKey]])*OutputTable[RecordedValue])),0)</f>
        <v>15.070574714396999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19" cm="1">
        <f t="array" ref="O19">MIN(IF((OutputTable[GroupByKey]=OutputTable[[#This Row],[GroupByKey]]),(OutputTable[GroupByKey]=OutputTable[[#This Row],[GroupByKey]])*OutputTable[RecordedValue]))</f>
        <v>470</v>
      </c>
      <c r="P19" cm="1">
        <f t="array" ref="P19">MAX(IF((OutputTable[GroupByKey]=OutputTable[[#This Row],[GroupByKey]]),(OutputTable[GroupByKey]=OutputTable[[#This Row],[GroupByKey]])*OutputTable[RecordedValue]))</f>
        <v>521</v>
      </c>
    </row>
    <row r="20" spans="1:16" x14ac:dyDescent="0.3">
      <c r="A20" t="s">
        <v>66</v>
      </c>
      <c r="B20" t="s">
        <v>68</v>
      </c>
      <c r="C20">
        <v>3</v>
      </c>
      <c r="D20" t="s">
        <v>101</v>
      </c>
      <c r="E20" t="s">
        <v>94</v>
      </c>
      <c r="F20" t="s">
        <v>87</v>
      </c>
      <c r="G20">
        <v>211</v>
      </c>
      <c r="H20">
        <v>0</v>
      </c>
      <c r="I20" t="str">
        <f>OutputTable[[#This Row],[ProjectName]]&amp;OutputTable[[#This Row],[Name]]&amp;OutputTable[[#This Row],[Type]]&amp;OutputTable[[#This Row],[Source]]</f>
        <v>Unnamed ProjectReparador.NumberSeizedTotal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199.4</v>
      </c>
      <c r="L20" cm="1">
        <f t="array" ref="L20">IFERROR(_xlfn.STDEV.S(IF((OutputTable[GroupByKey]=OutputTable[[#This Row],[GroupByKey]]),(OutputTable[GroupByKey]=OutputTable[[#This Row],[GroupByKey]])*OutputTable[RecordedValue])),0)</f>
        <v>13.623509092741122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20" cm="1">
        <f t="array" ref="O20">MIN(IF((OutputTable[GroupByKey]=OutputTable[[#This Row],[GroupByKey]]),(OutputTable[GroupByKey]=OutputTable[[#This Row],[GroupByKey]])*OutputTable[RecordedValue]))</f>
        <v>177</v>
      </c>
      <c r="P20" cm="1">
        <f t="array" ref="P20">MAX(IF((OutputTable[GroupByKey]=OutputTable[[#This Row],[GroupByKey]]),(OutputTable[GroupByKey]=OutputTable[[#This Row],[GroupByKey]])*OutputTable[RecordedValue]))</f>
        <v>213</v>
      </c>
    </row>
    <row r="21" spans="1:16" x14ac:dyDescent="0.3">
      <c r="A21" t="s">
        <v>66</v>
      </c>
      <c r="B21" t="s">
        <v>68</v>
      </c>
      <c r="C21">
        <v>3</v>
      </c>
      <c r="D21" t="s">
        <v>102</v>
      </c>
      <c r="E21" t="s">
        <v>96</v>
      </c>
      <c r="F21" t="s">
        <v>87</v>
      </c>
      <c r="G21">
        <v>0.205747048887229</v>
      </c>
      <c r="H21">
        <v>0</v>
      </c>
      <c r="I21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0.19913181661081703</v>
      </c>
      <c r="L21" cm="1">
        <f t="array" ref="L21">IFERROR(_xlfn.STDEV.S(IF((OutputTable[GroupByKey]=OutputTable[[#This Row],[GroupByKey]]),(OutputTable[GroupByKey]=OutputTable[[#This Row],[GroupByKey]])*OutputTable[RecordedValue])),0)</f>
        <v>1.2869584853188797E-2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21" cm="1">
        <f t="array" ref="O21">MIN(IF((OutputTable[GroupByKey]=OutputTable[[#This Row],[GroupByKey]]),(OutputTable[GroupByKey]=OutputTable[[#This Row],[GroupByKey]])*OutputTable[RecordedValue]))</f>
        <v>0.17745123836948901</v>
      </c>
      <c r="P21" cm="1">
        <f t="array" ref="P21">MAX(IF((OutputTable[GroupByKey]=OutputTable[[#This Row],[GroupByKey]]),(OutputTable[GroupByKey]=OutputTable[[#This Row],[GroupByKey]])*OutputTable[RecordedValue]))</f>
        <v>0.211848867954925</v>
      </c>
    </row>
    <row r="22" spans="1:16" x14ac:dyDescent="0.3">
      <c r="A22" t="s">
        <v>66</v>
      </c>
      <c r="B22" t="s">
        <v>68</v>
      </c>
      <c r="C22">
        <v>3</v>
      </c>
      <c r="D22" t="s">
        <v>103</v>
      </c>
      <c r="E22" t="s">
        <v>100</v>
      </c>
      <c r="F22" t="s">
        <v>104</v>
      </c>
      <c r="G22">
        <v>517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502.3</v>
      </c>
      <c r="L22" cm="1">
        <f t="array" ref="L22">IFERROR(_xlfn.STDEV.S(IF((OutputTable[GroupByKey]=OutputTable[[#This Row],[GroupByKey]]),(OutputTable[GroupByKey]=OutputTable[[#This Row],[GroupByKey]])*OutputTable[RecordedValue])),0)</f>
        <v>15.070574714396999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22" cm="1">
        <f t="array" ref="O22">MIN(IF((OutputTable[GroupByKey]=OutputTable[[#This Row],[GroupByKey]]),(OutputTable[GroupByKey]=OutputTable[[#This Row],[GroupByKey]])*OutputTable[RecordedValue]))</f>
        <v>470</v>
      </c>
      <c r="P22" cm="1">
        <f t="array" ref="P22">MAX(IF((OutputTable[GroupByKey]=OutputTable[[#This Row],[GroupByKey]]),(OutputTable[GroupByKey]=OutputTable[[#This Row],[GroupByKey]])*OutputTable[RecordedValue]))</f>
        <v>521</v>
      </c>
    </row>
    <row r="23" spans="1:16" x14ac:dyDescent="0.3">
      <c r="A23" t="s">
        <v>66</v>
      </c>
      <c r="B23" t="s">
        <v>68</v>
      </c>
      <c r="C23">
        <v>4</v>
      </c>
      <c r="D23" t="s">
        <v>93</v>
      </c>
      <c r="E23" t="s">
        <v>94</v>
      </c>
      <c r="F23" t="s">
        <v>87</v>
      </c>
      <c r="G23">
        <v>515</v>
      </c>
      <c r="H23">
        <v>0</v>
      </c>
      <c r="I23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503.6</v>
      </c>
      <c r="L23" cm="1">
        <f t="array" ref="L23">IFERROR(_xlfn.STDEV.S(IF((OutputTable[GroupByKey]=OutputTable[[#This Row],[GroupByKey]]),(OutputTable[GroupByKey]=OutputTable[[#This Row],[GroupByKey]])*OutputTable[RecordedValue])),0)</f>
        <v>15.04954779682396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23" cm="1">
        <f t="array" ref="O23">MIN(IF((OutputTable[GroupByKey]=OutputTable[[#This Row],[GroupByKey]]),(OutputTable[GroupByKey]=OutputTable[[#This Row],[GroupByKey]])*OutputTable[RecordedValue]))</f>
        <v>471</v>
      </c>
      <c r="P23" cm="1">
        <f t="array" ref="P23">MAX(IF((OutputTable[GroupByKey]=OutputTable[[#This Row],[GroupByKey]]),(OutputTable[GroupByKey]=OutputTable[[#This Row],[GroupByKey]])*OutputTable[RecordedValue]))</f>
        <v>522</v>
      </c>
    </row>
    <row r="24" spans="1:16" x14ac:dyDescent="0.3">
      <c r="A24" t="s">
        <v>66</v>
      </c>
      <c r="B24" t="s">
        <v>68</v>
      </c>
      <c r="C24">
        <v>4</v>
      </c>
      <c r="D24" t="s">
        <v>95</v>
      </c>
      <c r="E24" t="s">
        <v>96</v>
      </c>
      <c r="F24" t="s">
        <v>87</v>
      </c>
      <c r="G24">
        <v>0.76672532734546595</v>
      </c>
      <c r="H24">
        <v>0</v>
      </c>
      <c r="I24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0.75270459623689956</v>
      </c>
      <c r="L24" cm="1">
        <f t="array" ref="L24">IFERROR(_xlfn.STDEV.S(IF((OutputTable[GroupByKey]=OutputTable[[#This Row],[GroupByKey]]),(OutputTable[GroupByKey]=OutputTable[[#This Row],[GroupByKey]])*OutputTable[RecordedValue])),0)</f>
        <v>2.2617715250553498E-2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24" cm="1">
        <f t="array" ref="O24">MIN(IF((OutputTable[GroupByKey]=OutputTable[[#This Row],[GroupByKey]]),(OutputTable[GroupByKey]=OutputTable[[#This Row],[GroupByKey]])*OutputTable[RecordedValue]))</f>
        <v>0.71419407115187294</v>
      </c>
      <c r="P24" cm="1">
        <f t="array" ref="P24">MAX(IF((OutputTable[GroupByKey]=OutputTable[[#This Row],[GroupByKey]]),(OutputTable[GroupByKey]=OutputTable[[#This Row],[GroupByKey]])*OutputTable[RecordedValue]))</f>
        <v>0.77930529942358095</v>
      </c>
    </row>
    <row r="25" spans="1:16" x14ac:dyDescent="0.3">
      <c r="A25" t="s">
        <v>66</v>
      </c>
      <c r="B25" t="s">
        <v>68</v>
      </c>
      <c r="C25">
        <v>4</v>
      </c>
      <c r="D25" t="s">
        <v>97</v>
      </c>
      <c r="E25" t="s">
        <v>98</v>
      </c>
      <c r="F25" t="s">
        <v>71</v>
      </c>
      <c r="G25">
        <v>515</v>
      </c>
      <c r="H25">
        <v>0</v>
      </c>
      <c r="I25" t="str">
        <f>OutputTable[[#This Row],[ProjectName]]&amp;OutputTable[[#This Row],[Name]]&amp;OutputTable[[#This Row],[Type]]&amp;OutputTable[[#This Row],[Source]]</f>
        <v>Unnamed ProjectPECAS.NumberInNumber InEntity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504.6</v>
      </c>
      <c r="L25" cm="1">
        <f t="array" ref="L25">IFERROR(_xlfn.STDEV.S(IF((OutputTable[GroupByKey]=OutputTable[[#This Row],[GroupByKey]]),(OutputTable[GroupByKey]=OutputTable[[#This Row],[GroupByKey]])*OutputTable[RecordedValue])),0)</f>
        <v>15.414279094398156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25" cm="1">
        <f t="array" ref="O25">MIN(IF((OutputTable[GroupByKey]=OutputTable[[#This Row],[GroupByKey]]),(OutputTable[GroupByKey]=OutputTable[[#This Row],[GroupByKey]])*OutputTable[RecordedValue]))</f>
        <v>471</v>
      </c>
      <c r="P25" cm="1">
        <f t="array" ref="P25">MAX(IF((OutputTable[GroupByKey]=OutputTable[[#This Row],[GroupByKey]]),(OutputTable[GroupByKey]=OutputTable[[#This Row],[GroupByKey]])*OutputTable[RecordedValue]))</f>
        <v>522</v>
      </c>
    </row>
    <row r="26" spans="1:16" x14ac:dyDescent="0.3">
      <c r="A26" t="s">
        <v>66</v>
      </c>
      <c r="B26" t="s">
        <v>68</v>
      </c>
      <c r="C26">
        <v>4</v>
      </c>
      <c r="D26" t="s">
        <v>99</v>
      </c>
      <c r="E26" t="s">
        <v>100</v>
      </c>
      <c r="F26" t="s">
        <v>71</v>
      </c>
      <c r="G26">
        <v>514</v>
      </c>
      <c r="H26">
        <v>0</v>
      </c>
      <c r="I26" t="str">
        <f>OutputTable[[#This Row],[ProjectName]]&amp;OutputTable[[#This Row],[Name]]&amp;OutputTable[[#This Row],[Type]]&amp;OutputTable[[#This Row],[Source]]</f>
        <v>Unnamed ProjectPECAS.NumberOutNumber OutEntity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502.3</v>
      </c>
      <c r="L26" cm="1">
        <f t="array" ref="L26">IFERROR(_xlfn.STDEV.S(IF((OutputTable[GroupByKey]=OutputTable[[#This Row],[GroupByKey]]),(OutputTable[GroupByKey]=OutputTable[[#This Row],[GroupByKey]])*OutputTable[RecordedValue])),0)</f>
        <v>15.070574714396999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26" cm="1">
        <f t="array" ref="O26">MIN(IF((OutputTable[GroupByKey]=OutputTable[[#This Row],[GroupByKey]]),(OutputTable[GroupByKey]=OutputTable[[#This Row],[GroupByKey]])*OutputTable[RecordedValue]))</f>
        <v>470</v>
      </c>
      <c r="P26" cm="1">
        <f t="array" ref="P26">MAX(IF((OutputTable[GroupByKey]=OutputTable[[#This Row],[GroupByKey]]),(OutputTable[GroupByKey]=OutputTable[[#This Row],[GroupByKey]])*OutputTable[RecordedValue]))</f>
        <v>521</v>
      </c>
    </row>
    <row r="27" spans="1:16" x14ac:dyDescent="0.3">
      <c r="A27" t="s">
        <v>66</v>
      </c>
      <c r="B27" t="s">
        <v>68</v>
      </c>
      <c r="C27">
        <v>4</v>
      </c>
      <c r="D27" t="s">
        <v>101</v>
      </c>
      <c r="E27" t="s">
        <v>94</v>
      </c>
      <c r="F27" t="s">
        <v>87</v>
      </c>
      <c r="G27">
        <v>192</v>
      </c>
      <c r="H27">
        <v>0</v>
      </c>
      <c r="I27" t="str">
        <f>OutputTable[[#This Row],[ProjectName]]&amp;OutputTable[[#This Row],[Name]]&amp;OutputTable[[#This Row],[Type]]&amp;OutputTable[[#This Row],[Source]]</f>
        <v>Unnamed ProjectReparador.NumberSeizedTotal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199.4</v>
      </c>
      <c r="L27" cm="1">
        <f t="array" ref="L27">IFERROR(_xlfn.STDEV.S(IF((OutputTable[GroupByKey]=OutputTable[[#This Row],[GroupByKey]]),(OutputTable[GroupByKey]=OutputTable[[#This Row],[GroupByKey]])*OutputTable[RecordedValue])),0)</f>
        <v>13.623509092741122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27" cm="1">
        <f t="array" ref="O27">MIN(IF((OutputTable[GroupByKey]=OutputTable[[#This Row],[GroupByKey]]),(OutputTable[GroupByKey]=OutputTable[[#This Row],[GroupByKey]])*OutputTable[RecordedValue]))</f>
        <v>177</v>
      </c>
      <c r="P27" cm="1">
        <f t="array" ref="P27">MAX(IF((OutputTable[GroupByKey]=OutputTable[[#This Row],[GroupByKey]]),(OutputTable[GroupByKey]=OutputTable[[#This Row],[GroupByKey]])*OutputTable[RecordedValue]))</f>
        <v>213</v>
      </c>
    </row>
    <row r="28" spans="1:16" x14ac:dyDescent="0.3">
      <c r="A28" t="s">
        <v>66</v>
      </c>
      <c r="B28" t="s">
        <v>68</v>
      </c>
      <c r="C28">
        <v>4</v>
      </c>
      <c r="D28" t="s">
        <v>102</v>
      </c>
      <c r="E28" t="s">
        <v>96</v>
      </c>
      <c r="F28" t="s">
        <v>87</v>
      </c>
      <c r="G28">
        <v>0.190863569025468</v>
      </c>
      <c r="H28">
        <v>0</v>
      </c>
      <c r="I28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0.19913181661081703</v>
      </c>
      <c r="L28" cm="1">
        <f t="array" ref="L28">IFERROR(_xlfn.STDEV.S(IF((OutputTable[GroupByKey]=OutputTable[[#This Row],[GroupByKey]]),(OutputTable[GroupByKey]=OutputTable[[#This Row],[GroupByKey]])*OutputTable[RecordedValue])),0)</f>
        <v>1.2869584853188797E-2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28" cm="1">
        <f t="array" ref="O28">MIN(IF((OutputTable[GroupByKey]=OutputTable[[#This Row],[GroupByKey]]),(OutputTable[GroupByKey]=OutputTable[[#This Row],[GroupByKey]])*OutputTable[RecordedValue]))</f>
        <v>0.17745123836948901</v>
      </c>
      <c r="P28" cm="1">
        <f t="array" ref="P28">MAX(IF((OutputTable[GroupByKey]=OutputTable[[#This Row],[GroupByKey]]),(OutputTable[GroupByKey]=OutputTable[[#This Row],[GroupByKey]])*OutputTable[RecordedValue]))</f>
        <v>0.211848867954925</v>
      </c>
    </row>
    <row r="29" spans="1:16" x14ac:dyDescent="0.3">
      <c r="A29" t="s">
        <v>66</v>
      </c>
      <c r="B29" t="s">
        <v>68</v>
      </c>
      <c r="C29">
        <v>4</v>
      </c>
      <c r="D29" t="s">
        <v>103</v>
      </c>
      <c r="E29" t="s">
        <v>100</v>
      </c>
      <c r="F29" t="s">
        <v>104</v>
      </c>
      <c r="G29">
        <v>514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502.3</v>
      </c>
      <c r="L29" cm="1">
        <f t="array" ref="L29">IFERROR(_xlfn.STDEV.S(IF((OutputTable[GroupByKey]=OutputTable[[#This Row],[GroupByKey]]),(OutputTable[GroupByKey]=OutputTable[[#This Row],[GroupByKey]])*OutputTable[RecordedValue])),0)</f>
        <v>15.070574714396999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29" cm="1">
        <f t="array" ref="O29">MIN(IF((OutputTable[GroupByKey]=OutputTable[[#This Row],[GroupByKey]]),(OutputTable[GroupByKey]=OutputTable[[#This Row],[GroupByKey]])*OutputTable[RecordedValue]))</f>
        <v>470</v>
      </c>
      <c r="P29" cm="1">
        <f t="array" ref="P29">MAX(IF((OutputTable[GroupByKey]=OutputTable[[#This Row],[GroupByKey]]),(OutputTable[GroupByKey]=OutputTable[[#This Row],[GroupByKey]])*OutputTable[RecordedValue]))</f>
        <v>521</v>
      </c>
    </row>
    <row r="30" spans="1:16" x14ac:dyDescent="0.3">
      <c r="A30" t="s">
        <v>66</v>
      </c>
      <c r="B30" t="s">
        <v>68</v>
      </c>
      <c r="C30">
        <v>5</v>
      </c>
      <c r="D30" t="s">
        <v>93</v>
      </c>
      <c r="E30" t="s">
        <v>94</v>
      </c>
      <c r="F30" t="s">
        <v>87</v>
      </c>
      <c r="G30">
        <v>503</v>
      </c>
      <c r="H30">
        <v>0</v>
      </c>
      <c r="I30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503.6</v>
      </c>
      <c r="L30" cm="1">
        <f t="array" ref="L30">IFERROR(_xlfn.STDEV.S(IF((OutputTable[GroupByKey]=OutputTable[[#This Row],[GroupByKey]]),(OutputTable[GroupByKey]=OutputTable[[#This Row],[GroupByKey]])*OutputTable[RecordedValue])),0)</f>
        <v>15.04954779682396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30" cm="1">
        <f t="array" ref="O30">MIN(IF((OutputTable[GroupByKey]=OutputTable[[#This Row],[GroupByKey]]),(OutputTable[GroupByKey]=OutputTable[[#This Row],[GroupByKey]])*OutputTable[RecordedValue]))</f>
        <v>471</v>
      </c>
      <c r="P30" cm="1">
        <f t="array" ref="P30">MAX(IF((OutputTable[GroupByKey]=OutputTable[[#This Row],[GroupByKey]]),(OutputTable[GroupByKey]=OutputTable[[#This Row],[GroupByKey]])*OutputTable[RecordedValue]))</f>
        <v>522</v>
      </c>
    </row>
    <row r="31" spans="1:16" x14ac:dyDescent="0.3">
      <c r="A31" t="s">
        <v>66</v>
      </c>
      <c r="B31" t="s">
        <v>68</v>
      </c>
      <c r="C31">
        <v>5</v>
      </c>
      <c r="D31" t="s">
        <v>95</v>
      </c>
      <c r="E31" t="s">
        <v>96</v>
      </c>
      <c r="F31" t="s">
        <v>87</v>
      </c>
      <c r="G31">
        <v>0.75159746343030698</v>
      </c>
      <c r="H31">
        <v>0</v>
      </c>
      <c r="I31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0.75270459623689956</v>
      </c>
      <c r="L31" cm="1">
        <f t="array" ref="L31">IFERROR(_xlfn.STDEV.S(IF((OutputTable[GroupByKey]=OutputTable[[#This Row],[GroupByKey]]),(OutputTable[GroupByKey]=OutputTable[[#This Row],[GroupByKey]])*OutputTable[RecordedValue])),0)</f>
        <v>2.2617715250553498E-2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31" cm="1">
        <f t="array" ref="O31">MIN(IF((OutputTable[GroupByKey]=OutputTable[[#This Row],[GroupByKey]]),(OutputTable[GroupByKey]=OutputTable[[#This Row],[GroupByKey]])*OutputTable[RecordedValue]))</f>
        <v>0.71419407115187294</v>
      </c>
      <c r="P31" cm="1">
        <f t="array" ref="P31">MAX(IF((OutputTable[GroupByKey]=OutputTable[[#This Row],[GroupByKey]]),(OutputTable[GroupByKey]=OutputTable[[#This Row],[GroupByKey]])*OutputTable[RecordedValue]))</f>
        <v>0.77930529942358095</v>
      </c>
    </row>
    <row r="32" spans="1:16" x14ac:dyDescent="0.3">
      <c r="A32" t="s">
        <v>66</v>
      </c>
      <c r="B32" t="s">
        <v>68</v>
      </c>
      <c r="C32">
        <v>5</v>
      </c>
      <c r="D32" t="s">
        <v>97</v>
      </c>
      <c r="E32" t="s">
        <v>98</v>
      </c>
      <c r="F32" t="s">
        <v>71</v>
      </c>
      <c r="G32">
        <v>503</v>
      </c>
      <c r="H32">
        <v>0</v>
      </c>
      <c r="I32" t="str">
        <f>OutputTable[[#This Row],[ProjectName]]&amp;OutputTable[[#This Row],[Name]]&amp;OutputTable[[#This Row],[Type]]&amp;OutputTable[[#This Row],[Source]]</f>
        <v>Unnamed ProjectPECAS.NumberInNumber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504.6</v>
      </c>
      <c r="L32" cm="1">
        <f t="array" ref="L32">IFERROR(_xlfn.STDEV.S(IF((OutputTable[GroupByKey]=OutputTable[[#This Row],[GroupByKey]]),(OutputTable[GroupByKey]=OutputTable[[#This Row],[GroupByKey]])*OutputTable[RecordedValue])),0)</f>
        <v>15.414279094398156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32" cm="1">
        <f t="array" ref="O32">MIN(IF((OutputTable[GroupByKey]=OutputTable[[#This Row],[GroupByKey]]),(OutputTable[GroupByKey]=OutputTable[[#This Row],[GroupByKey]])*OutputTable[RecordedValue]))</f>
        <v>471</v>
      </c>
      <c r="P32" cm="1">
        <f t="array" ref="P32">MAX(IF((OutputTable[GroupByKey]=OutputTable[[#This Row],[GroupByKey]]),(OutputTable[GroupByKey]=OutputTable[[#This Row],[GroupByKey]])*OutputTable[RecordedValue]))</f>
        <v>522</v>
      </c>
    </row>
    <row r="33" spans="1:16" x14ac:dyDescent="0.3">
      <c r="A33" t="s">
        <v>66</v>
      </c>
      <c r="B33" t="s">
        <v>68</v>
      </c>
      <c r="C33">
        <v>5</v>
      </c>
      <c r="D33" t="s">
        <v>99</v>
      </c>
      <c r="E33" t="s">
        <v>100</v>
      </c>
      <c r="F33" t="s">
        <v>71</v>
      </c>
      <c r="G33">
        <v>503</v>
      </c>
      <c r="H33">
        <v>0</v>
      </c>
      <c r="I33" t="str">
        <f>OutputTable[[#This Row],[ProjectName]]&amp;OutputTable[[#This Row],[Name]]&amp;OutputTable[[#This Row],[Type]]&amp;OutputTable[[#This Row],[Source]]</f>
        <v>Unnamed ProjectPECAS.NumberOutNumber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502.3</v>
      </c>
      <c r="L33" cm="1">
        <f t="array" ref="L33">IFERROR(_xlfn.STDEV.S(IF((OutputTable[GroupByKey]=OutputTable[[#This Row],[GroupByKey]]),(OutputTable[GroupByKey]=OutputTable[[#This Row],[GroupByKey]])*OutputTable[RecordedValue])),0)</f>
        <v>15.070574714396999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33" cm="1">
        <f t="array" ref="O33">MIN(IF((OutputTable[GroupByKey]=OutputTable[[#This Row],[GroupByKey]]),(OutputTable[GroupByKey]=OutputTable[[#This Row],[GroupByKey]])*OutputTable[RecordedValue]))</f>
        <v>470</v>
      </c>
      <c r="P33" cm="1">
        <f t="array" ref="P33">MAX(IF((OutputTable[GroupByKey]=OutputTable[[#This Row],[GroupByKey]]),(OutputTable[GroupByKey]=OutputTable[[#This Row],[GroupByKey]])*OutputTable[RecordedValue]))</f>
        <v>521</v>
      </c>
    </row>
    <row r="34" spans="1:16" x14ac:dyDescent="0.3">
      <c r="A34" t="s">
        <v>66</v>
      </c>
      <c r="B34" t="s">
        <v>68</v>
      </c>
      <c r="C34">
        <v>5</v>
      </c>
      <c r="D34" t="s">
        <v>101</v>
      </c>
      <c r="E34" t="s">
        <v>94</v>
      </c>
      <c r="F34" t="s">
        <v>87</v>
      </c>
      <c r="G34">
        <v>213</v>
      </c>
      <c r="H34">
        <v>0</v>
      </c>
      <c r="I34" t="str">
        <f>OutputTable[[#This Row],[ProjectName]]&amp;OutputTable[[#This Row],[Name]]&amp;OutputTable[[#This Row],[Type]]&amp;OutputTable[[#This Row],[Source]]</f>
        <v>Unnamed ProjectReparador.NumberSeizedTotal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199.4</v>
      </c>
      <c r="L34" cm="1">
        <f t="array" ref="L34">IFERROR(_xlfn.STDEV.S(IF((OutputTable[GroupByKey]=OutputTable[[#This Row],[GroupByKey]]),(OutputTable[GroupByKey]=OutputTable[[#This Row],[GroupByKey]])*OutputTable[RecordedValue])),0)</f>
        <v>13.623509092741122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34" cm="1">
        <f t="array" ref="O34">MIN(IF((OutputTable[GroupByKey]=OutputTable[[#This Row],[GroupByKey]]),(OutputTable[GroupByKey]=OutputTable[[#This Row],[GroupByKey]])*OutputTable[RecordedValue]))</f>
        <v>177</v>
      </c>
      <c r="P34" cm="1">
        <f t="array" ref="P34">MAX(IF((OutputTable[GroupByKey]=OutputTable[[#This Row],[GroupByKey]]),(OutputTable[GroupByKey]=OutputTable[[#This Row],[GroupByKey]])*OutputTable[RecordedValue]))</f>
        <v>213</v>
      </c>
    </row>
    <row r="35" spans="1:16" x14ac:dyDescent="0.3">
      <c r="A35" t="s">
        <v>66</v>
      </c>
      <c r="B35" t="s">
        <v>68</v>
      </c>
      <c r="C35">
        <v>5</v>
      </c>
      <c r="D35" t="s">
        <v>102</v>
      </c>
      <c r="E35" t="s">
        <v>96</v>
      </c>
      <c r="F35" t="s">
        <v>87</v>
      </c>
      <c r="G35">
        <v>0.21123497165778701</v>
      </c>
      <c r="H35">
        <v>0</v>
      </c>
      <c r="I35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0.19913181661081703</v>
      </c>
      <c r="L35" cm="1">
        <f t="array" ref="L35">IFERROR(_xlfn.STDEV.S(IF((OutputTable[GroupByKey]=OutputTable[[#This Row],[GroupByKey]]),(OutputTable[GroupByKey]=OutputTable[[#This Row],[GroupByKey]])*OutputTable[RecordedValue])),0)</f>
        <v>1.2869584853188797E-2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35" cm="1">
        <f t="array" ref="O35">MIN(IF((OutputTable[GroupByKey]=OutputTable[[#This Row],[GroupByKey]]),(OutputTable[GroupByKey]=OutputTable[[#This Row],[GroupByKey]])*OutputTable[RecordedValue]))</f>
        <v>0.17745123836948901</v>
      </c>
      <c r="P35" cm="1">
        <f t="array" ref="P35">MAX(IF((OutputTable[GroupByKey]=OutputTable[[#This Row],[GroupByKey]]),(OutputTable[GroupByKey]=OutputTable[[#This Row],[GroupByKey]])*OutputTable[RecordedValue]))</f>
        <v>0.211848867954925</v>
      </c>
    </row>
    <row r="36" spans="1:16" x14ac:dyDescent="0.3">
      <c r="A36" t="s">
        <v>66</v>
      </c>
      <c r="B36" t="s">
        <v>68</v>
      </c>
      <c r="C36">
        <v>5</v>
      </c>
      <c r="D36" t="s">
        <v>103</v>
      </c>
      <c r="E36" t="s">
        <v>100</v>
      </c>
      <c r="F36" t="s">
        <v>104</v>
      </c>
      <c r="G36">
        <v>503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502.3</v>
      </c>
      <c r="L36" cm="1">
        <f t="array" ref="L36">IFERROR(_xlfn.STDEV.S(IF((OutputTable[GroupByKey]=OutputTable[[#This Row],[GroupByKey]]),(OutputTable[GroupByKey]=OutputTable[[#This Row],[GroupByKey]])*OutputTable[RecordedValue])),0)</f>
        <v>15.070574714396999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36" cm="1">
        <f t="array" ref="O36">MIN(IF((OutputTable[GroupByKey]=OutputTable[[#This Row],[GroupByKey]]),(OutputTable[GroupByKey]=OutputTable[[#This Row],[GroupByKey]])*OutputTable[RecordedValue]))</f>
        <v>470</v>
      </c>
      <c r="P36" cm="1">
        <f t="array" ref="P36">MAX(IF((OutputTable[GroupByKey]=OutputTable[[#This Row],[GroupByKey]]),(OutputTable[GroupByKey]=OutputTable[[#This Row],[GroupByKey]])*OutputTable[RecordedValue]))</f>
        <v>521</v>
      </c>
    </row>
    <row r="37" spans="1:16" x14ac:dyDescent="0.3">
      <c r="A37" t="s">
        <v>66</v>
      </c>
      <c r="B37" t="s">
        <v>68</v>
      </c>
      <c r="C37">
        <v>6</v>
      </c>
      <c r="D37" t="s">
        <v>93</v>
      </c>
      <c r="E37" t="s">
        <v>94</v>
      </c>
      <c r="F37" t="s">
        <v>87</v>
      </c>
      <c r="G37">
        <v>498</v>
      </c>
      <c r="H37">
        <v>0</v>
      </c>
      <c r="I37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503.6</v>
      </c>
      <c r="L37" cm="1">
        <f t="array" ref="L37">IFERROR(_xlfn.STDEV.S(IF((OutputTable[GroupByKey]=OutputTable[[#This Row],[GroupByKey]]),(OutputTable[GroupByKey]=OutputTable[[#This Row],[GroupByKey]])*OutputTable[RecordedValue])),0)</f>
        <v>15.04954779682396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37" cm="1">
        <f t="array" ref="O37">MIN(IF((OutputTable[GroupByKey]=OutputTable[[#This Row],[GroupByKey]]),(OutputTable[GroupByKey]=OutputTable[[#This Row],[GroupByKey]])*OutputTable[RecordedValue]))</f>
        <v>471</v>
      </c>
      <c r="P37" cm="1">
        <f t="array" ref="P37">MAX(IF((OutputTable[GroupByKey]=OutputTable[[#This Row],[GroupByKey]]),(OutputTable[GroupByKey]=OutputTable[[#This Row],[GroupByKey]])*OutputTable[RecordedValue]))</f>
        <v>522</v>
      </c>
    </row>
    <row r="38" spans="1:16" x14ac:dyDescent="0.3">
      <c r="A38" t="s">
        <v>66</v>
      </c>
      <c r="B38" t="s">
        <v>68</v>
      </c>
      <c r="C38">
        <v>6</v>
      </c>
      <c r="D38" t="s">
        <v>95</v>
      </c>
      <c r="E38" t="s">
        <v>96</v>
      </c>
      <c r="F38" t="s">
        <v>87</v>
      </c>
      <c r="G38">
        <v>0.73109963996995297</v>
      </c>
      <c r="H38">
        <v>0</v>
      </c>
      <c r="I38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0.75270459623689956</v>
      </c>
      <c r="L38" cm="1">
        <f t="array" ref="L38">IFERROR(_xlfn.STDEV.S(IF((OutputTable[GroupByKey]=OutputTable[[#This Row],[GroupByKey]]),(OutputTable[GroupByKey]=OutputTable[[#This Row],[GroupByKey]])*OutputTable[RecordedValue])),0)</f>
        <v>2.2617715250553498E-2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38" cm="1">
        <f t="array" ref="O38">MIN(IF((OutputTable[GroupByKey]=OutputTable[[#This Row],[GroupByKey]]),(OutputTable[GroupByKey]=OutputTable[[#This Row],[GroupByKey]])*OutputTable[RecordedValue]))</f>
        <v>0.71419407115187294</v>
      </c>
      <c r="P38" cm="1">
        <f t="array" ref="P38">MAX(IF((OutputTable[GroupByKey]=OutputTable[[#This Row],[GroupByKey]]),(OutputTable[GroupByKey]=OutputTable[[#This Row],[GroupByKey]])*OutputTable[RecordedValue]))</f>
        <v>0.77930529942358095</v>
      </c>
    </row>
    <row r="39" spans="1:16" x14ac:dyDescent="0.3">
      <c r="A39" t="s">
        <v>66</v>
      </c>
      <c r="B39" t="s">
        <v>68</v>
      </c>
      <c r="C39">
        <v>6</v>
      </c>
      <c r="D39" t="s">
        <v>97</v>
      </c>
      <c r="E39" t="s">
        <v>98</v>
      </c>
      <c r="F39" t="s">
        <v>71</v>
      </c>
      <c r="G39">
        <v>498</v>
      </c>
      <c r="H39">
        <v>0</v>
      </c>
      <c r="I39" t="str">
        <f>OutputTable[[#This Row],[ProjectName]]&amp;OutputTable[[#This Row],[Name]]&amp;OutputTable[[#This Row],[Type]]&amp;OutputTable[[#This Row],[Source]]</f>
        <v>Unnamed ProjectPECAS.NumberInNumber InEntity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504.6</v>
      </c>
      <c r="L39" cm="1">
        <f t="array" ref="L39">IFERROR(_xlfn.STDEV.S(IF((OutputTable[GroupByKey]=OutputTable[[#This Row],[GroupByKey]]),(OutputTable[GroupByKey]=OutputTable[[#This Row],[GroupByKey]])*OutputTable[RecordedValue])),0)</f>
        <v>15.414279094398156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39" cm="1">
        <f t="array" ref="O39">MIN(IF((OutputTable[GroupByKey]=OutputTable[[#This Row],[GroupByKey]]),(OutputTable[GroupByKey]=OutputTable[[#This Row],[GroupByKey]])*OutputTable[RecordedValue]))</f>
        <v>471</v>
      </c>
      <c r="P39" cm="1">
        <f t="array" ref="P39">MAX(IF((OutputTable[GroupByKey]=OutputTable[[#This Row],[GroupByKey]]),(OutputTable[GroupByKey]=OutputTable[[#This Row],[GroupByKey]])*OutputTable[RecordedValue]))</f>
        <v>522</v>
      </c>
    </row>
    <row r="40" spans="1:16" x14ac:dyDescent="0.3">
      <c r="A40" t="s">
        <v>66</v>
      </c>
      <c r="B40" t="s">
        <v>68</v>
      </c>
      <c r="C40">
        <v>6</v>
      </c>
      <c r="D40" t="s">
        <v>99</v>
      </c>
      <c r="E40" t="s">
        <v>100</v>
      </c>
      <c r="F40" t="s">
        <v>71</v>
      </c>
      <c r="G40">
        <v>496</v>
      </c>
      <c r="H40">
        <v>0</v>
      </c>
      <c r="I40" t="str">
        <f>OutputTable[[#This Row],[ProjectName]]&amp;OutputTable[[#This Row],[Name]]&amp;OutputTable[[#This Row],[Type]]&amp;OutputTable[[#This Row],[Source]]</f>
        <v>Unnamed ProjectPECAS.NumberOutNumber OutEntity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502.3</v>
      </c>
      <c r="L40" cm="1">
        <f t="array" ref="L40">IFERROR(_xlfn.STDEV.S(IF((OutputTable[GroupByKey]=OutputTable[[#This Row],[GroupByKey]]),(OutputTable[GroupByKey]=OutputTable[[#This Row],[GroupByKey]])*OutputTable[RecordedValue])),0)</f>
        <v>15.070574714396999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40" cm="1">
        <f t="array" ref="O40">MIN(IF((OutputTable[GroupByKey]=OutputTable[[#This Row],[GroupByKey]]),(OutputTable[GroupByKey]=OutputTable[[#This Row],[GroupByKey]])*OutputTable[RecordedValue]))</f>
        <v>470</v>
      </c>
      <c r="P40" cm="1">
        <f t="array" ref="P40">MAX(IF((OutputTable[GroupByKey]=OutputTable[[#This Row],[GroupByKey]]),(OutputTable[GroupByKey]=OutputTable[[#This Row],[GroupByKey]])*OutputTable[RecordedValue]))</f>
        <v>521</v>
      </c>
    </row>
    <row r="41" spans="1:16" x14ac:dyDescent="0.3">
      <c r="A41" t="s">
        <v>66</v>
      </c>
      <c r="B41" t="s">
        <v>68</v>
      </c>
      <c r="C41">
        <v>6</v>
      </c>
      <c r="D41" t="s">
        <v>101</v>
      </c>
      <c r="E41" t="s">
        <v>94</v>
      </c>
      <c r="F41" t="s">
        <v>87</v>
      </c>
      <c r="G41">
        <v>178</v>
      </c>
      <c r="H41">
        <v>0</v>
      </c>
      <c r="I41" t="str">
        <f>OutputTable[[#This Row],[ProjectName]]&amp;OutputTable[[#This Row],[Name]]&amp;OutputTable[[#This Row],[Type]]&amp;OutputTable[[#This Row],[Source]]</f>
        <v>Unnamed ProjectReparador.NumberSeizedTotal Number SeizedResource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199.4</v>
      </c>
      <c r="L41" cm="1">
        <f t="array" ref="L41">IFERROR(_xlfn.STDEV.S(IF((OutputTable[GroupByKey]=OutputTable[[#This Row],[GroupByKey]]),(OutputTable[GroupByKey]=OutputTable[[#This Row],[GroupByKey]])*OutputTable[RecordedValue])),0)</f>
        <v>13.623509092741122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41" cm="1">
        <f t="array" ref="O41">MIN(IF((OutputTable[GroupByKey]=OutputTable[[#This Row],[GroupByKey]]),(OutputTable[GroupByKey]=OutputTable[[#This Row],[GroupByKey]])*OutputTable[RecordedValue]))</f>
        <v>177</v>
      </c>
      <c r="P41" cm="1">
        <f t="array" ref="P41">MAX(IF((OutputTable[GroupByKey]=OutputTable[[#This Row],[GroupByKey]]),(OutputTable[GroupByKey]=OutputTable[[#This Row],[GroupByKey]])*OutputTable[RecordedValue]))</f>
        <v>213</v>
      </c>
    </row>
    <row r="42" spans="1:16" x14ac:dyDescent="0.3">
      <c r="A42" t="s">
        <v>66</v>
      </c>
      <c r="B42" t="s">
        <v>68</v>
      </c>
      <c r="C42">
        <v>6</v>
      </c>
      <c r="D42" t="s">
        <v>102</v>
      </c>
      <c r="E42" t="s">
        <v>96</v>
      </c>
      <c r="F42" t="s">
        <v>87</v>
      </c>
      <c r="G42">
        <v>0.17745123836948901</v>
      </c>
      <c r="H42">
        <v>0</v>
      </c>
      <c r="I42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0.19913181661081703</v>
      </c>
      <c r="L42" cm="1">
        <f t="array" ref="L42">IFERROR(_xlfn.STDEV.S(IF((OutputTable[GroupByKey]=OutputTable[[#This Row],[GroupByKey]]),(OutputTable[GroupByKey]=OutputTable[[#This Row],[GroupByKey]])*OutputTable[RecordedValue])),0)</f>
        <v>1.2869584853188797E-2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42" cm="1">
        <f t="array" ref="O42">MIN(IF((OutputTable[GroupByKey]=OutputTable[[#This Row],[GroupByKey]]),(OutputTable[GroupByKey]=OutputTable[[#This Row],[GroupByKey]])*OutputTable[RecordedValue]))</f>
        <v>0.17745123836948901</v>
      </c>
      <c r="P42" cm="1">
        <f t="array" ref="P42">MAX(IF((OutputTable[GroupByKey]=OutputTable[[#This Row],[GroupByKey]]),(OutputTable[GroupByKey]=OutputTable[[#This Row],[GroupByKey]])*OutputTable[RecordedValue]))</f>
        <v>0.211848867954925</v>
      </c>
    </row>
    <row r="43" spans="1:16" x14ac:dyDescent="0.3">
      <c r="A43" t="s">
        <v>66</v>
      </c>
      <c r="B43" t="s">
        <v>68</v>
      </c>
      <c r="C43">
        <v>6</v>
      </c>
      <c r="D43" t="s">
        <v>103</v>
      </c>
      <c r="E43" t="s">
        <v>100</v>
      </c>
      <c r="F43" t="s">
        <v>104</v>
      </c>
      <c r="G43">
        <v>496</v>
      </c>
      <c r="H43">
        <v>0</v>
      </c>
      <c r="I43" t="str">
        <f>OutputTable[[#This Row],[ProjectName]]&amp;OutputTable[[#This Row],[Name]]&amp;OutputTable[[#This Row],[Type]]&amp;OutputTable[[#This Row],[Source]]</f>
        <v>Unnamed ProjectSystem.NumberOutNumber OutSystem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502.3</v>
      </c>
      <c r="L43" cm="1">
        <f t="array" ref="L43">IFERROR(_xlfn.STDEV.S(IF((OutputTable[GroupByKey]=OutputTable[[#This Row],[GroupByKey]]),(OutputTable[GroupByKey]=OutputTable[[#This Row],[GroupByKey]])*OutputTable[RecordedValue])),0)</f>
        <v>15.070574714396999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43" cm="1">
        <f t="array" ref="O43">MIN(IF((OutputTable[GroupByKey]=OutputTable[[#This Row],[GroupByKey]]),(OutputTable[GroupByKey]=OutputTable[[#This Row],[GroupByKey]])*OutputTable[RecordedValue]))</f>
        <v>470</v>
      </c>
      <c r="P43" cm="1">
        <f t="array" ref="P43">MAX(IF((OutputTable[GroupByKey]=OutputTable[[#This Row],[GroupByKey]]),(OutputTable[GroupByKey]=OutputTable[[#This Row],[GroupByKey]])*OutputTable[RecordedValue]))</f>
        <v>521</v>
      </c>
    </row>
    <row r="44" spans="1:16" x14ac:dyDescent="0.3">
      <c r="A44" t="s">
        <v>66</v>
      </c>
      <c r="B44" t="s">
        <v>68</v>
      </c>
      <c r="C44">
        <v>7</v>
      </c>
      <c r="D44" t="s">
        <v>93</v>
      </c>
      <c r="E44" t="s">
        <v>94</v>
      </c>
      <c r="F44" t="s">
        <v>87</v>
      </c>
      <c r="G44">
        <v>471</v>
      </c>
      <c r="H44">
        <v>0</v>
      </c>
      <c r="I44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503.6</v>
      </c>
      <c r="L44" cm="1">
        <f t="array" ref="L44">IFERROR(_xlfn.STDEV.S(IF((OutputTable[GroupByKey]=OutputTable[[#This Row],[GroupByKey]]),(OutputTable[GroupByKey]=OutputTable[[#This Row],[GroupByKey]])*OutputTable[RecordedValue])),0)</f>
        <v>15.04954779682396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44" cm="1">
        <f t="array" ref="O44">MIN(IF((OutputTable[GroupByKey]=OutputTable[[#This Row],[GroupByKey]]),(OutputTable[GroupByKey]=OutputTable[[#This Row],[GroupByKey]])*OutputTable[RecordedValue]))</f>
        <v>471</v>
      </c>
      <c r="P44" cm="1">
        <f t="array" ref="P44">MAX(IF((OutputTable[GroupByKey]=OutputTable[[#This Row],[GroupByKey]]),(OutputTable[GroupByKey]=OutputTable[[#This Row],[GroupByKey]])*OutputTable[RecordedValue]))</f>
        <v>522</v>
      </c>
    </row>
    <row r="45" spans="1:16" x14ac:dyDescent="0.3">
      <c r="A45" t="s">
        <v>66</v>
      </c>
      <c r="B45" t="s">
        <v>68</v>
      </c>
      <c r="C45">
        <v>7</v>
      </c>
      <c r="D45" t="s">
        <v>95</v>
      </c>
      <c r="E45" t="s">
        <v>96</v>
      </c>
      <c r="F45" t="s">
        <v>87</v>
      </c>
      <c r="G45">
        <v>0.71419407115187294</v>
      </c>
      <c r="H45">
        <v>0</v>
      </c>
      <c r="I45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0.75270459623689956</v>
      </c>
      <c r="L45" cm="1">
        <f t="array" ref="L45">IFERROR(_xlfn.STDEV.S(IF((OutputTable[GroupByKey]=OutputTable[[#This Row],[GroupByKey]]),(OutputTable[GroupByKey]=OutputTable[[#This Row],[GroupByKey]])*OutputTable[RecordedValue])),0)</f>
        <v>2.2617715250553498E-2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45" cm="1">
        <f t="array" ref="O45">MIN(IF((OutputTable[GroupByKey]=OutputTable[[#This Row],[GroupByKey]]),(OutputTable[GroupByKey]=OutputTable[[#This Row],[GroupByKey]])*OutputTable[RecordedValue]))</f>
        <v>0.71419407115187294</v>
      </c>
      <c r="P45" cm="1">
        <f t="array" ref="P45">MAX(IF((OutputTable[GroupByKey]=OutputTable[[#This Row],[GroupByKey]]),(OutputTable[GroupByKey]=OutputTable[[#This Row],[GroupByKey]])*OutputTable[RecordedValue]))</f>
        <v>0.77930529942358095</v>
      </c>
    </row>
    <row r="46" spans="1:16" x14ac:dyDescent="0.3">
      <c r="A46" t="s">
        <v>66</v>
      </c>
      <c r="B46" t="s">
        <v>68</v>
      </c>
      <c r="C46">
        <v>7</v>
      </c>
      <c r="D46" t="s">
        <v>97</v>
      </c>
      <c r="E46" t="s">
        <v>98</v>
      </c>
      <c r="F46" t="s">
        <v>71</v>
      </c>
      <c r="G46">
        <v>471</v>
      </c>
      <c r="H46">
        <v>0</v>
      </c>
      <c r="I46" t="str">
        <f>OutputTable[[#This Row],[ProjectName]]&amp;OutputTable[[#This Row],[Name]]&amp;OutputTable[[#This Row],[Type]]&amp;OutputTable[[#This Row],[Source]]</f>
        <v>Unnamed ProjectPECAS.NumberInNumber InEntity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504.6</v>
      </c>
      <c r="L46" cm="1">
        <f t="array" ref="L46">IFERROR(_xlfn.STDEV.S(IF((OutputTable[GroupByKey]=OutputTable[[#This Row],[GroupByKey]]),(OutputTable[GroupByKey]=OutputTable[[#This Row],[GroupByKey]])*OutputTable[RecordedValue])),0)</f>
        <v>15.414279094398156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46" cm="1">
        <f t="array" ref="O46">MIN(IF((OutputTable[GroupByKey]=OutputTable[[#This Row],[GroupByKey]]),(OutputTable[GroupByKey]=OutputTable[[#This Row],[GroupByKey]])*OutputTable[RecordedValue]))</f>
        <v>471</v>
      </c>
      <c r="P46" cm="1">
        <f t="array" ref="P46">MAX(IF((OutputTable[GroupByKey]=OutputTable[[#This Row],[GroupByKey]]),(OutputTable[GroupByKey]=OutputTable[[#This Row],[GroupByKey]])*OutputTable[RecordedValue]))</f>
        <v>522</v>
      </c>
    </row>
    <row r="47" spans="1:16" x14ac:dyDescent="0.3">
      <c r="A47" t="s">
        <v>66</v>
      </c>
      <c r="B47" t="s">
        <v>68</v>
      </c>
      <c r="C47">
        <v>7</v>
      </c>
      <c r="D47" t="s">
        <v>99</v>
      </c>
      <c r="E47" t="s">
        <v>100</v>
      </c>
      <c r="F47" t="s">
        <v>71</v>
      </c>
      <c r="G47">
        <v>470</v>
      </c>
      <c r="H47">
        <v>0</v>
      </c>
      <c r="I47" t="str">
        <f>OutputTable[[#This Row],[ProjectName]]&amp;OutputTable[[#This Row],[Name]]&amp;OutputTable[[#This Row],[Type]]&amp;OutputTable[[#This Row],[Source]]</f>
        <v>Unnamed ProjectPECAS.NumberOutNumber OutEntity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502.3</v>
      </c>
      <c r="L47" cm="1">
        <f t="array" ref="L47">IFERROR(_xlfn.STDEV.S(IF((OutputTable[GroupByKey]=OutputTable[[#This Row],[GroupByKey]]),(OutputTable[GroupByKey]=OutputTable[[#This Row],[GroupByKey]])*OutputTable[RecordedValue])),0)</f>
        <v>15.070574714396999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47" cm="1">
        <f t="array" ref="O47">MIN(IF((OutputTable[GroupByKey]=OutputTable[[#This Row],[GroupByKey]]),(OutputTable[GroupByKey]=OutputTable[[#This Row],[GroupByKey]])*OutputTable[RecordedValue]))</f>
        <v>470</v>
      </c>
      <c r="P47" cm="1">
        <f t="array" ref="P47">MAX(IF((OutputTable[GroupByKey]=OutputTable[[#This Row],[GroupByKey]]),(OutputTable[GroupByKey]=OutputTable[[#This Row],[GroupByKey]])*OutputTable[RecordedValue]))</f>
        <v>521</v>
      </c>
    </row>
    <row r="48" spans="1:16" x14ac:dyDescent="0.3">
      <c r="A48" t="s">
        <v>66</v>
      </c>
      <c r="B48" t="s">
        <v>68</v>
      </c>
      <c r="C48">
        <v>7</v>
      </c>
      <c r="D48" t="s">
        <v>101</v>
      </c>
      <c r="E48" t="s">
        <v>94</v>
      </c>
      <c r="F48" t="s">
        <v>87</v>
      </c>
      <c r="G48">
        <v>177</v>
      </c>
      <c r="H48">
        <v>0</v>
      </c>
      <c r="I48" t="str">
        <f>OutputTable[[#This Row],[ProjectName]]&amp;OutputTable[[#This Row],[Name]]&amp;OutputTable[[#This Row],[Type]]&amp;OutputTable[[#This Row],[Source]]</f>
        <v>Unnamed ProjectReparador.NumberSeizedTotal Number SeizedResource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199.4</v>
      </c>
      <c r="L48" cm="1">
        <f t="array" ref="L48">IFERROR(_xlfn.STDEV.S(IF((OutputTable[GroupByKey]=OutputTable[[#This Row],[GroupByKey]]),(OutputTable[GroupByKey]=OutputTable[[#This Row],[GroupByKey]])*OutputTable[RecordedValue])),0)</f>
        <v>13.623509092741122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48" cm="1">
        <f t="array" ref="O48">MIN(IF((OutputTable[GroupByKey]=OutputTable[[#This Row],[GroupByKey]]),(OutputTable[GroupByKey]=OutputTable[[#This Row],[GroupByKey]])*OutputTable[RecordedValue]))</f>
        <v>177</v>
      </c>
      <c r="P48" cm="1">
        <f t="array" ref="P48">MAX(IF((OutputTable[GroupByKey]=OutputTable[[#This Row],[GroupByKey]]),(OutputTable[GroupByKey]=OutputTable[[#This Row],[GroupByKey]])*OutputTable[RecordedValue]))</f>
        <v>213</v>
      </c>
    </row>
    <row r="49" spans="1:16" x14ac:dyDescent="0.3">
      <c r="A49" t="s">
        <v>66</v>
      </c>
      <c r="B49" t="s">
        <v>68</v>
      </c>
      <c r="C49">
        <v>7</v>
      </c>
      <c r="D49" t="s">
        <v>102</v>
      </c>
      <c r="E49" t="s">
        <v>96</v>
      </c>
      <c r="F49" t="s">
        <v>87</v>
      </c>
      <c r="G49">
        <v>0.17915015177023799</v>
      </c>
      <c r="H49">
        <v>0</v>
      </c>
      <c r="I49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0.19913181661081703</v>
      </c>
      <c r="L49" cm="1">
        <f t="array" ref="L49">IFERROR(_xlfn.STDEV.S(IF((OutputTable[GroupByKey]=OutputTable[[#This Row],[GroupByKey]]),(OutputTable[GroupByKey]=OutputTable[[#This Row],[GroupByKey]])*OutputTable[RecordedValue])),0)</f>
        <v>1.2869584853188797E-2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49" cm="1">
        <f t="array" ref="O49">MIN(IF((OutputTable[GroupByKey]=OutputTable[[#This Row],[GroupByKey]]),(OutputTable[GroupByKey]=OutputTable[[#This Row],[GroupByKey]])*OutputTable[RecordedValue]))</f>
        <v>0.17745123836948901</v>
      </c>
      <c r="P49" cm="1">
        <f t="array" ref="P49">MAX(IF((OutputTable[GroupByKey]=OutputTable[[#This Row],[GroupByKey]]),(OutputTable[GroupByKey]=OutputTable[[#This Row],[GroupByKey]])*OutputTable[RecordedValue]))</f>
        <v>0.211848867954925</v>
      </c>
    </row>
    <row r="50" spans="1:16" x14ac:dyDescent="0.3">
      <c r="A50" t="s">
        <v>66</v>
      </c>
      <c r="B50" t="s">
        <v>68</v>
      </c>
      <c r="C50">
        <v>7</v>
      </c>
      <c r="D50" t="s">
        <v>103</v>
      </c>
      <c r="E50" t="s">
        <v>100</v>
      </c>
      <c r="F50" t="s">
        <v>104</v>
      </c>
      <c r="G50">
        <v>470</v>
      </c>
      <c r="H50">
        <v>0</v>
      </c>
      <c r="I50" t="str">
        <f>OutputTable[[#This Row],[ProjectName]]&amp;OutputTable[[#This Row],[Name]]&amp;OutputTable[[#This Row],[Type]]&amp;OutputTable[[#This Row],[Source]]</f>
        <v>Unnamed ProjectSystem.NumberOutNumber OutSystem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502.3</v>
      </c>
      <c r="L50" cm="1">
        <f t="array" ref="L50">IFERROR(_xlfn.STDEV.S(IF((OutputTable[GroupByKey]=OutputTable[[#This Row],[GroupByKey]]),(OutputTable[GroupByKey]=OutputTable[[#This Row],[GroupByKey]])*OutputTable[RecordedValue])),0)</f>
        <v>15.070574714396999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50" cm="1">
        <f t="array" ref="O50">MIN(IF((OutputTable[GroupByKey]=OutputTable[[#This Row],[GroupByKey]]),(OutputTable[GroupByKey]=OutputTable[[#This Row],[GroupByKey]])*OutputTable[RecordedValue]))</f>
        <v>470</v>
      </c>
      <c r="P50" cm="1">
        <f t="array" ref="P50">MAX(IF((OutputTable[GroupByKey]=OutputTable[[#This Row],[GroupByKey]]),(OutputTable[GroupByKey]=OutputTable[[#This Row],[GroupByKey]])*OutputTable[RecordedValue]))</f>
        <v>521</v>
      </c>
    </row>
    <row r="51" spans="1:16" x14ac:dyDescent="0.3">
      <c r="A51" t="s">
        <v>66</v>
      </c>
      <c r="B51" t="s">
        <v>68</v>
      </c>
      <c r="C51">
        <v>8</v>
      </c>
      <c r="D51" t="s">
        <v>93</v>
      </c>
      <c r="E51" t="s">
        <v>94</v>
      </c>
      <c r="F51" t="s">
        <v>87</v>
      </c>
      <c r="G51">
        <v>501</v>
      </c>
      <c r="H51">
        <v>0</v>
      </c>
      <c r="I51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503.6</v>
      </c>
      <c r="L51" cm="1">
        <f t="array" ref="L51">IFERROR(_xlfn.STDEV.S(IF((OutputTable[GroupByKey]=OutputTable[[#This Row],[GroupByKey]]),(OutputTable[GroupByKey]=OutputTable[[#This Row],[GroupByKey]])*OutputTable[RecordedValue])),0)</f>
        <v>15.04954779682396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51" cm="1">
        <f t="array" ref="O51">MIN(IF((OutputTable[GroupByKey]=OutputTable[[#This Row],[GroupByKey]]),(OutputTable[GroupByKey]=OutputTable[[#This Row],[GroupByKey]])*OutputTable[RecordedValue]))</f>
        <v>471</v>
      </c>
      <c r="P51" cm="1">
        <f t="array" ref="P51">MAX(IF((OutputTable[GroupByKey]=OutputTable[[#This Row],[GroupByKey]]),(OutputTable[GroupByKey]=OutputTable[[#This Row],[GroupByKey]])*OutputTable[RecordedValue]))</f>
        <v>522</v>
      </c>
    </row>
    <row r="52" spans="1:16" x14ac:dyDescent="0.3">
      <c r="A52" t="s">
        <v>66</v>
      </c>
      <c r="B52" t="s">
        <v>68</v>
      </c>
      <c r="C52">
        <v>8</v>
      </c>
      <c r="D52" t="s">
        <v>95</v>
      </c>
      <c r="E52" t="s">
        <v>96</v>
      </c>
      <c r="F52" t="s">
        <v>87</v>
      </c>
      <c r="G52">
        <v>0.75191681647388897</v>
      </c>
      <c r="H52">
        <v>0</v>
      </c>
      <c r="I52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0.75270459623689956</v>
      </c>
      <c r="L52" cm="1">
        <f t="array" ref="L52">IFERROR(_xlfn.STDEV.S(IF((OutputTable[GroupByKey]=OutputTable[[#This Row],[GroupByKey]]),(OutputTable[GroupByKey]=OutputTable[[#This Row],[GroupByKey]])*OutputTable[RecordedValue])),0)</f>
        <v>2.2617715250553498E-2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52" cm="1">
        <f t="array" ref="O52">MIN(IF((OutputTable[GroupByKey]=OutputTable[[#This Row],[GroupByKey]]),(OutputTable[GroupByKey]=OutputTable[[#This Row],[GroupByKey]])*OutputTable[RecordedValue]))</f>
        <v>0.71419407115187294</v>
      </c>
      <c r="P52" cm="1">
        <f t="array" ref="P52">MAX(IF((OutputTable[GroupByKey]=OutputTable[[#This Row],[GroupByKey]]),(OutputTable[GroupByKey]=OutputTable[[#This Row],[GroupByKey]])*OutputTable[RecordedValue]))</f>
        <v>0.77930529942358095</v>
      </c>
    </row>
    <row r="53" spans="1:16" x14ac:dyDescent="0.3">
      <c r="A53" t="s">
        <v>66</v>
      </c>
      <c r="B53" t="s">
        <v>68</v>
      </c>
      <c r="C53">
        <v>8</v>
      </c>
      <c r="D53" t="s">
        <v>97</v>
      </c>
      <c r="E53" t="s">
        <v>98</v>
      </c>
      <c r="F53" t="s">
        <v>71</v>
      </c>
      <c r="G53">
        <v>503</v>
      </c>
      <c r="H53">
        <v>0</v>
      </c>
      <c r="I53" t="str">
        <f>OutputTable[[#This Row],[ProjectName]]&amp;OutputTable[[#This Row],[Name]]&amp;OutputTable[[#This Row],[Type]]&amp;OutputTable[[#This Row],[Source]]</f>
        <v>Unnamed ProjectPECAS.NumberInNumber InEntity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504.6</v>
      </c>
      <c r="L53" cm="1">
        <f t="array" ref="L53">IFERROR(_xlfn.STDEV.S(IF((OutputTable[GroupByKey]=OutputTable[[#This Row],[GroupByKey]]),(OutputTable[GroupByKey]=OutputTable[[#This Row],[GroupByKey]])*OutputTable[RecordedValue])),0)</f>
        <v>15.414279094398156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53" cm="1">
        <f t="array" ref="O53">MIN(IF((OutputTable[GroupByKey]=OutputTable[[#This Row],[GroupByKey]]),(OutputTable[GroupByKey]=OutputTable[[#This Row],[GroupByKey]])*OutputTable[RecordedValue]))</f>
        <v>471</v>
      </c>
      <c r="P53" cm="1">
        <f t="array" ref="P53">MAX(IF((OutputTable[GroupByKey]=OutputTable[[#This Row],[GroupByKey]]),(OutputTable[GroupByKey]=OutputTable[[#This Row],[GroupByKey]])*OutputTable[RecordedValue]))</f>
        <v>522</v>
      </c>
    </row>
    <row r="54" spans="1:16" x14ac:dyDescent="0.3">
      <c r="A54" t="s">
        <v>66</v>
      </c>
      <c r="B54" t="s">
        <v>68</v>
      </c>
      <c r="C54">
        <v>8</v>
      </c>
      <c r="D54" t="s">
        <v>99</v>
      </c>
      <c r="E54" t="s">
        <v>100</v>
      </c>
      <c r="F54" t="s">
        <v>71</v>
      </c>
      <c r="G54">
        <v>499</v>
      </c>
      <c r="H54">
        <v>0</v>
      </c>
      <c r="I54" t="str">
        <f>OutputTable[[#This Row],[ProjectName]]&amp;OutputTable[[#This Row],[Name]]&amp;OutputTable[[#This Row],[Type]]&amp;OutputTable[[#This Row],[Source]]</f>
        <v>Unnamed ProjectPECAS.NumberOutNumber OutEntity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502.3</v>
      </c>
      <c r="L54" cm="1">
        <f t="array" ref="L54">IFERROR(_xlfn.STDEV.S(IF((OutputTable[GroupByKey]=OutputTable[[#This Row],[GroupByKey]]),(OutputTable[GroupByKey]=OutputTable[[#This Row],[GroupByKey]])*OutputTable[RecordedValue])),0)</f>
        <v>15.070574714396999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54" cm="1">
        <f t="array" ref="O54">MIN(IF((OutputTable[GroupByKey]=OutputTable[[#This Row],[GroupByKey]]),(OutputTable[GroupByKey]=OutputTable[[#This Row],[GroupByKey]])*OutputTable[RecordedValue]))</f>
        <v>470</v>
      </c>
      <c r="P54" cm="1">
        <f t="array" ref="P54">MAX(IF((OutputTable[GroupByKey]=OutputTable[[#This Row],[GroupByKey]]),(OutputTable[GroupByKey]=OutputTable[[#This Row],[GroupByKey]])*OutputTable[RecordedValue]))</f>
        <v>521</v>
      </c>
    </row>
    <row r="55" spans="1:16" x14ac:dyDescent="0.3">
      <c r="A55" t="s">
        <v>66</v>
      </c>
      <c r="B55" t="s">
        <v>68</v>
      </c>
      <c r="C55">
        <v>8</v>
      </c>
      <c r="D55" t="s">
        <v>101</v>
      </c>
      <c r="E55" t="s">
        <v>94</v>
      </c>
      <c r="F55" t="s">
        <v>87</v>
      </c>
      <c r="G55">
        <v>202</v>
      </c>
      <c r="H55">
        <v>0</v>
      </c>
      <c r="I55" t="str">
        <f>OutputTable[[#This Row],[ProjectName]]&amp;OutputTable[[#This Row],[Name]]&amp;OutputTable[[#This Row],[Type]]&amp;OutputTable[[#This Row],[Source]]</f>
        <v>Unnamed ProjectReparador.NumberSeizedTotal Number SeizedResource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199.4</v>
      </c>
      <c r="L55" cm="1">
        <f t="array" ref="L55">IFERROR(_xlfn.STDEV.S(IF((OutputTable[GroupByKey]=OutputTable[[#This Row],[GroupByKey]]),(OutputTable[GroupByKey]=OutputTable[[#This Row],[GroupByKey]])*OutputTable[RecordedValue])),0)</f>
        <v>13.623509092741122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55" cm="1">
        <f t="array" ref="O55">MIN(IF((OutputTable[GroupByKey]=OutputTable[[#This Row],[GroupByKey]]),(OutputTable[GroupByKey]=OutputTable[[#This Row],[GroupByKey]])*OutputTable[RecordedValue]))</f>
        <v>177</v>
      </c>
      <c r="P55" cm="1">
        <f t="array" ref="P55">MAX(IF((OutputTable[GroupByKey]=OutputTable[[#This Row],[GroupByKey]]),(OutputTable[GroupByKey]=OutputTable[[#This Row],[GroupByKey]])*OutputTable[RecordedValue]))</f>
        <v>213</v>
      </c>
    </row>
    <row r="56" spans="1:16" x14ac:dyDescent="0.3">
      <c r="A56" t="s">
        <v>66</v>
      </c>
      <c r="B56" t="s">
        <v>68</v>
      </c>
      <c r="C56">
        <v>8</v>
      </c>
      <c r="D56" t="s">
        <v>102</v>
      </c>
      <c r="E56" t="s">
        <v>96</v>
      </c>
      <c r="F56" t="s">
        <v>87</v>
      </c>
      <c r="G56">
        <v>0.20583759426287199</v>
      </c>
      <c r="H56">
        <v>0</v>
      </c>
      <c r="I56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0.19913181661081703</v>
      </c>
      <c r="L56" cm="1">
        <f t="array" ref="L56">IFERROR(_xlfn.STDEV.S(IF((OutputTable[GroupByKey]=OutputTable[[#This Row],[GroupByKey]]),(OutputTable[GroupByKey]=OutputTable[[#This Row],[GroupByKey]])*OutputTable[RecordedValue])),0)</f>
        <v>1.2869584853188797E-2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56" cm="1">
        <f t="array" ref="O56">MIN(IF((OutputTable[GroupByKey]=OutputTable[[#This Row],[GroupByKey]]),(OutputTable[GroupByKey]=OutputTable[[#This Row],[GroupByKey]])*OutputTable[RecordedValue]))</f>
        <v>0.17745123836948901</v>
      </c>
      <c r="P56" cm="1">
        <f t="array" ref="P56">MAX(IF((OutputTable[GroupByKey]=OutputTable[[#This Row],[GroupByKey]]),(OutputTable[GroupByKey]=OutputTable[[#This Row],[GroupByKey]])*OutputTable[RecordedValue]))</f>
        <v>0.211848867954925</v>
      </c>
    </row>
    <row r="57" spans="1:16" x14ac:dyDescent="0.3">
      <c r="A57" t="s">
        <v>66</v>
      </c>
      <c r="B57" t="s">
        <v>68</v>
      </c>
      <c r="C57">
        <v>8</v>
      </c>
      <c r="D57" t="s">
        <v>103</v>
      </c>
      <c r="E57" t="s">
        <v>100</v>
      </c>
      <c r="F57" t="s">
        <v>104</v>
      </c>
      <c r="G57">
        <v>499</v>
      </c>
      <c r="H57">
        <v>0</v>
      </c>
      <c r="I57" t="str">
        <f>OutputTable[[#This Row],[ProjectName]]&amp;OutputTable[[#This Row],[Name]]&amp;OutputTable[[#This Row],[Type]]&amp;OutputTable[[#This Row],[Source]]</f>
        <v>Unnamed ProjectSystem.NumberOutNumber OutSystem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502.3</v>
      </c>
      <c r="L57" cm="1">
        <f t="array" ref="L57">IFERROR(_xlfn.STDEV.S(IF((OutputTable[GroupByKey]=OutputTable[[#This Row],[GroupByKey]]),(OutputTable[GroupByKey]=OutputTable[[#This Row],[GroupByKey]])*OutputTable[RecordedValue])),0)</f>
        <v>15.070574714396999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57" cm="1">
        <f t="array" ref="O57">MIN(IF((OutputTable[GroupByKey]=OutputTable[[#This Row],[GroupByKey]]),(OutputTable[GroupByKey]=OutputTable[[#This Row],[GroupByKey]])*OutputTable[RecordedValue]))</f>
        <v>470</v>
      </c>
      <c r="P57" cm="1">
        <f t="array" ref="P57">MAX(IF((OutputTable[GroupByKey]=OutputTable[[#This Row],[GroupByKey]]),(OutputTable[GroupByKey]=OutputTable[[#This Row],[GroupByKey]])*OutputTable[RecordedValue]))</f>
        <v>521</v>
      </c>
    </row>
    <row r="58" spans="1:16" x14ac:dyDescent="0.3">
      <c r="A58" t="s">
        <v>66</v>
      </c>
      <c r="B58" t="s">
        <v>68</v>
      </c>
      <c r="C58">
        <v>9</v>
      </c>
      <c r="D58" t="s">
        <v>93</v>
      </c>
      <c r="E58" t="s">
        <v>94</v>
      </c>
      <c r="F58" t="s">
        <v>87</v>
      </c>
      <c r="G58">
        <v>522</v>
      </c>
      <c r="H58">
        <v>0</v>
      </c>
      <c r="I58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503.6</v>
      </c>
      <c r="L58" cm="1">
        <f t="array" ref="L58">IFERROR(_xlfn.STDEV.S(IF((OutputTable[GroupByKey]=OutputTable[[#This Row],[GroupByKey]]),(OutputTable[GroupByKey]=OutputTable[[#This Row],[GroupByKey]])*OutputTable[RecordedValue])),0)</f>
        <v>15.04954779682396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58" cm="1">
        <f t="array" ref="O58">MIN(IF((OutputTable[GroupByKey]=OutputTable[[#This Row],[GroupByKey]]),(OutputTable[GroupByKey]=OutputTable[[#This Row],[GroupByKey]])*OutputTable[RecordedValue]))</f>
        <v>471</v>
      </c>
      <c r="P58" cm="1">
        <f t="array" ref="P58">MAX(IF((OutputTable[GroupByKey]=OutputTable[[#This Row],[GroupByKey]]),(OutputTable[GroupByKey]=OutputTable[[#This Row],[GroupByKey]])*OutputTable[RecordedValue]))</f>
        <v>522</v>
      </c>
    </row>
    <row r="59" spans="1:16" x14ac:dyDescent="0.3">
      <c r="A59" t="s">
        <v>66</v>
      </c>
      <c r="B59" t="s">
        <v>68</v>
      </c>
      <c r="C59">
        <v>9</v>
      </c>
      <c r="D59" t="s">
        <v>95</v>
      </c>
      <c r="E59" t="s">
        <v>96</v>
      </c>
      <c r="F59" t="s">
        <v>87</v>
      </c>
      <c r="G59">
        <v>0.77930529942358095</v>
      </c>
      <c r="H59">
        <v>0</v>
      </c>
      <c r="I59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0.75270459623689956</v>
      </c>
      <c r="L59" cm="1">
        <f t="array" ref="L59">IFERROR(_xlfn.STDEV.S(IF((OutputTable[GroupByKey]=OutputTable[[#This Row],[GroupByKey]]),(OutputTable[GroupByKey]=OutputTable[[#This Row],[GroupByKey]])*OutputTable[RecordedValue])),0)</f>
        <v>2.2617715250553498E-2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59" cm="1">
        <f t="array" ref="O59">MIN(IF((OutputTable[GroupByKey]=OutputTable[[#This Row],[GroupByKey]]),(OutputTable[GroupByKey]=OutputTable[[#This Row],[GroupByKey]])*OutputTable[RecordedValue]))</f>
        <v>0.71419407115187294</v>
      </c>
      <c r="P59" cm="1">
        <f t="array" ref="P59">MAX(IF((OutputTable[GroupByKey]=OutputTable[[#This Row],[GroupByKey]]),(OutputTable[GroupByKey]=OutputTable[[#This Row],[GroupByKey]])*OutputTable[RecordedValue]))</f>
        <v>0.77930529942358095</v>
      </c>
    </row>
    <row r="60" spans="1:16" x14ac:dyDescent="0.3">
      <c r="A60" t="s">
        <v>66</v>
      </c>
      <c r="B60" t="s">
        <v>68</v>
      </c>
      <c r="C60">
        <v>9</v>
      </c>
      <c r="D60" t="s">
        <v>97</v>
      </c>
      <c r="E60" t="s">
        <v>98</v>
      </c>
      <c r="F60" t="s">
        <v>71</v>
      </c>
      <c r="G60">
        <v>522</v>
      </c>
      <c r="H60">
        <v>0</v>
      </c>
      <c r="I60" t="str">
        <f>OutputTable[[#This Row],[ProjectName]]&amp;OutputTable[[#This Row],[Name]]&amp;OutputTable[[#This Row],[Type]]&amp;OutputTable[[#This Row],[Source]]</f>
        <v>Unnamed ProjectPECAS.NumberInNumber InEntity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504.6</v>
      </c>
      <c r="L60" cm="1">
        <f t="array" ref="L60">IFERROR(_xlfn.STDEV.S(IF((OutputTable[GroupByKey]=OutputTable[[#This Row],[GroupByKey]]),(OutputTable[GroupByKey]=OutputTable[[#This Row],[GroupByKey]])*OutputTable[RecordedValue])),0)</f>
        <v>15.414279094398156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60" cm="1">
        <f t="array" ref="O60">MIN(IF((OutputTable[GroupByKey]=OutputTable[[#This Row],[GroupByKey]]),(OutputTable[GroupByKey]=OutputTable[[#This Row],[GroupByKey]])*OutputTable[RecordedValue]))</f>
        <v>471</v>
      </c>
      <c r="P60" cm="1">
        <f t="array" ref="P60">MAX(IF((OutputTable[GroupByKey]=OutputTable[[#This Row],[GroupByKey]]),(OutputTable[GroupByKey]=OutputTable[[#This Row],[GroupByKey]])*OutputTable[RecordedValue]))</f>
        <v>522</v>
      </c>
    </row>
    <row r="61" spans="1:16" x14ac:dyDescent="0.3">
      <c r="A61" t="s">
        <v>66</v>
      </c>
      <c r="B61" t="s">
        <v>68</v>
      </c>
      <c r="C61">
        <v>9</v>
      </c>
      <c r="D61" t="s">
        <v>99</v>
      </c>
      <c r="E61" t="s">
        <v>100</v>
      </c>
      <c r="F61" t="s">
        <v>71</v>
      </c>
      <c r="G61">
        <v>521</v>
      </c>
      <c r="H61">
        <v>0</v>
      </c>
      <c r="I61" t="str">
        <f>OutputTable[[#This Row],[ProjectName]]&amp;OutputTable[[#This Row],[Name]]&amp;OutputTable[[#This Row],[Type]]&amp;OutputTable[[#This Row],[Source]]</f>
        <v>Unnamed ProjectPECAS.NumberOutNumber OutEntity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502.3</v>
      </c>
      <c r="L61" cm="1">
        <f t="array" ref="L61">IFERROR(_xlfn.STDEV.S(IF((OutputTable[GroupByKey]=OutputTable[[#This Row],[GroupByKey]]),(OutputTable[GroupByKey]=OutputTable[[#This Row],[GroupByKey]])*OutputTable[RecordedValue])),0)</f>
        <v>15.070574714396999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61" cm="1">
        <f t="array" ref="O61">MIN(IF((OutputTable[GroupByKey]=OutputTable[[#This Row],[GroupByKey]]),(OutputTable[GroupByKey]=OutputTable[[#This Row],[GroupByKey]])*OutputTable[RecordedValue]))</f>
        <v>470</v>
      </c>
      <c r="P61" cm="1">
        <f t="array" ref="P61">MAX(IF((OutputTable[GroupByKey]=OutputTable[[#This Row],[GroupByKey]]),(OutputTable[GroupByKey]=OutputTable[[#This Row],[GroupByKey]])*OutputTable[RecordedValue]))</f>
        <v>521</v>
      </c>
    </row>
    <row r="62" spans="1:16" x14ac:dyDescent="0.3">
      <c r="A62" t="s">
        <v>66</v>
      </c>
      <c r="B62" t="s">
        <v>68</v>
      </c>
      <c r="C62">
        <v>9</v>
      </c>
      <c r="D62" t="s">
        <v>101</v>
      </c>
      <c r="E62" t="s">
        <v>94</v>
      </c>
      <c r="F62" t="s">
        <v>87</v>
      </c>
      <c r="G62">
        <v>203</v>
      </c>
      <c r="H62">
        <v>0</v>
      </c>
      <c r="I62" t="str">
        <f>OutputTable[[#This Row],[ProjectName]]&amp;OutputTable[[#This Row],[Name]]&amp;OutputTable[[#This Row],[Type]]&amp;OutputTable[[#This Row],[Source]]</f>
        <v>Unnamed ProjectReparador.NumberSeizedTotal Number SeizedResource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199.4</v>
      </c>
      <c r="L62" cm="1">
        <f t="array" ref="L62">IFERROR(_xlfn.STDEV.S(IF((OutputTable[GroupByKey]=OutputTable[[#This Row],[GroupByKey]]),(OutputTable[GroupByKey]=OutputTable[[#This Row],[GroupByKey]])*OutputTable[RecordedValue])),0)</f>
        <v>13.623509092741122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62" cm="1">
        <f t="array" ref="O62">MIN(IF((OutputTable[GroupByKey]=OutputTable[[#This Row],[GroupByKey]]),(OutputTable[GroupByKey]=OutputTable[[#This Row],[GroupByKey]])*OutputTable[RecordedValue]))</f>
        <v>177</v>
      </c>
      <c r="P62" cm="1">
        <f t="array" ref="P62">MAX(IF((OutputTable[GroupByKey]=OutputTable[[#This Row],[GroupByKey]]),(OutputTable[GroupByKey]=OutputTable[[#This Row],[GroupByKey]])*OutputTable[RecordedValue]))</f>
        <v>213</v>
      </c>
    </row>
    <row r="63" spans="1:16" x14ac:dyDescent="0.3">
      <c r="A63" t="s">
        <v>66</v>
      </c>
      <c r="B63" t="s">
        <v>68</v>
      </c>
      <c r="C63">
        <v>9</v>
      </c>
      <c r="D63" t="s">
        <v>102</v>
      </c>
      <c r="E63" t="s">
        <v>96</v>
      </c>
      <c r="F63" t="s">
        <v>87</v>
      </c>
      <c r="G63">
        <v>0.204903625205858</v>
      </c>
      <c r="H63">
        <v>0</v>
      </c>
      <c r="I63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0.19913181661081703</v>
      </c>
      <c r="L63" cm="1">
        <f t="array" ref="L63">IFERROR(_xlfn.STDEV.S(IF((OutputTable[GroupByKey]=OutputTable[[#This Row],[GroupByKey]]),(OutputTable[GroupByKey]=OutputTable[[#This Row],[GroupByKey]])*OutputTable[RecordedValue])),0)</f>
        <v>1.2869584853188797E-2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63" cm="1">
        <f t="array" ref="O63">MIN(IF((OutputTable[GroupByKey]=OutputTable[[#This Row],[GroupByKey]]),(OutputTable[GroupByKey]=OutputTable[[#This Row],[GroupByKey]])*OutputTable[RecordedValue]))</f>
        <v>0.17745123836948901</v>
      </c>
      <c r="P63" cm="1">
        <f t="array" ref="P63">MAX(IF((OutputTable[GroupByKey]=OutputTable[[#This Row],[GroupByKey]]),(OutputTable[GroupByKey]=OutputTable[[#This Row],[GroupByKey]])*OutputTable[RecordedValue]))</f>
        <v>0.211848867954925</v>
      </c>
    </row>
    <row r="64" spans="1:16" x14ac:dyDescent="0.3">
      <c r="A64" t="s">
        <v>66</v>
      </c>
      <c r="B64" t="s">
        <v>68</v>
      </c>
      <c r="C64">
        <v>9</v>
      </c>
      <c r="D64" t="s">
        <v>103</v>
      </c>
      <c r="E64" t="s">
        <v>100</v>
      </c>
      <c r="F64" t="s">
        <v>104</v>
      </c>
      <c r="G64">
        <v>521</v>
      </c>
      <c r="H64">
        <v>0</v>
      </c>
      <c r="I64" t="str">
        <f>OutputTable[[#This Row],[ProjectName]]&amp;OutputTable[[#This Row],[Name]]&amp;OutputTable[[#This Row],[Type]]&amp;OutputTable[[#This Row],[Source]]</f>
        <v>Unnamed ProjectSystem.NumberOutNumber OutSystem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502.3</v>
      </c>
      <c r="L64" cm="1">
        <f t="array" ref="L64">IFERROR(_xlfn.STDEV.S(IF((OutputTable[GroupByKey]=OutputTable[[#This Row],[GroupByKey]]),(OutputTable[GroupByKey]=OutputTable[[#This Row],[GroupByKey]])*OutputTable[RecordedValue])),0)</f>
        <v>15.070574714396999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64" cm="1">
        <f t="array" ref="O64">MIN(IF((OutputTable[GroupByKey]=OutputTable[[#This Row],[GroupByKey]]),(OutputTable[GroupByKey]=OutputTable[[#This Row],[GroupByKey]])*OutputTable[RecordedValue]))</f>
        <v>470</v>
      </c>
      <c r="P64" cm="1">
        <f t="array" ref="P64">MAX(IF((OutputTable[GroupByKey]=OutputTable[[#This Row],[GroupByKey]]),(OutputTable[GroupByKey]=OutputTable[[#This Row],[GroupByKey]])*OutputTable[RecordedValue]))</f>
        <v>521</v>
      </c>
    </row>
    <row r="65" spans="1:16" x14ac:dyDescent="0.3">
      <c r="A65" t="s">
        <v>66</v>
      </c>
      <c r="B65" t="s">
        <v>68</v>
      </c>
      <c r="C65">
        <v>10</v>
      </c>
      <c r="D65" t="s">
        <v>93</v>
      </c>
      <c r="E65" t="s">
        <v>94</v>
      </c>
      <c r="F65" t="s">
        <v>87</v>
      </c>
      <c r="G65">
        <v>491</v>
      </c>
      <c r="H65">
        <v>0</v>
      </c>
      <c r="I65" t="str">
        <f>OutputTable[[#This Row],[ProjectName]]&amp;OutputTable[[#This Row],[Name]]&amp;OutputTable[[#This Row],[Type]]&amp;OutputTable[[#This Row],[Source]]</f>
        <v>Unnamed ProjectOperador Maquina A.NumberSeizedTotal Number SeizedResource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503.6</v>
      </c>
      <c r="L65" cm="1">
        <f t="array" ref="L65">IFERROR(_xlfn.STDEV.S(IF((OutputTable[GroupByKey]=OutputTable[[#This Row],[GroupByKey]]),(OutputTable[GroupByKey]=OutputTable[[#This Row],[GroupByKey]])*OutputTable[RecordedValue])),0)</f>
        <v>15.04954779682396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10.765797948193622</v>
      </c>
      <c r="O65" cm="1">
        <f t="array" ref="O65">MIN(IF((OutputTable[GroupByKey]=OutputTable[[#This Row],[GroupByKey]]),(OutputTable[GroupByKey]=OutputTable[[#This Row],[GroupByKey]])*OutputTable[RecordedValue]))</f>
        <v>471</v>
      </c>
      <c r="P65" cm="1">
        <f t="array" ref="P65">MAX(IF((OutputTable[GroupByKey]=OutputTable[[#This Row],[GroupByKey]]),(OutputTable[GroupByKey]=OutputTable[[#This Row],[GroupByKey]])*OutputTable[RecordedValue]))</f>
        <v>522</v>
      </c>
    </row>
    <row r="66" spans="1:16" x14ac:dyDescent="0.3">
      <c r="A66" t="s">
        <v>66</v>
      </c>
      <c r="B66" t="s">
        <v>68</v>
      </c>
      <c r="C66">
        <v>10</v>
      </c>
      <c r="D66" t="s">
        <v>95</v>
      </c>
      <c r="E66" t="s">
        <v>96</v>
      </c>
      <c r="F66" t="s">
        <v>87</v>
      </c>
      <c r="G66">
        <v>0.725995399076098</v>
      </c>
      <c r="H66">
        <v>0</v>
      </c>
      <c r="I66" t="str">
        <f>OutputTable[[#This Row],[ProjectName]]&amp;OutputTable[[#This Row],[Name]]&amp;OutputTable[[#This Row],[Type]]&amp;OutputTable[[#This Row],[Source]]</f>
        <v>Unnamed ProjectOperador Maquina A.ScheduledUtilizationScheduled UtilizationResource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0.75270459623689956</v>
      </c>
      <c r="L66" cm="1">
        <f t="array" ref="L66">IFERROR(_xlfn.STDEV.S(IF((OutputTable[GroupByKey]=OutputTable[[#This Row],[GroupByKey]]),(OutputTable[GroupByKey]=OutputTable[[#This Row],[GroupByKey]])*OutputTable[RecordedValue])),0)</f>
        <v>2.2617715250553498E-2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1.6179738801761465E-2</v>
      </c>
      <c r="O66" cm="1">
        <f t="array" ref="O66">MIN(IF((OutputTable[GroupByKey]=OutputTable[[#This Row],[GroupByKey]]),(OutputTable[GroupByKey]=OutputTable[[#This Row],[GroupByKey]])*OutputTable[RecordedValue]))</f>
        <v>0.71419407115187294</v>
      </c>
      <c r="P66" cm="1">
        <f t="array" ref="P66">MAX(IF((OutputTable[GroupByKey]=OutputTable[[#This Row],[GroupByKey]]),(OutputTable[GroupByKey]=OutputTable[[#This Row],[GroupByKey]])*OutputTable[RecordedValue]))</f>
        <v>0.77930529942358095</v>
      </c>
    </row>
    <row r="67" spans="1:16" x14ac:dyDescent="0.3">
      <c r="A67" t="s">
        <v>66</v>
      </c>
      <c r="B67" t="s">
        <v>68</v>
      </c>
      <c r="C67">
        <v>10</v>
      </c>
      <c r="D67" t="s">
        <v>97</v>
      </c>
      <c r="E67" t="s">
        <v>98</v>
      </c>
      <c r="F67" t="s">
        <v>71</v>
      </c>
      <c r="G67">
        <v>492</v>
      </c>
      <c r="H67">
        <v>0</v>
      </c>
      <c r="I67" t="str">
        <f>OutputTable[[#This Row],[ProjectName]]&amp;OutputTable[[#This Row],[Name]]&amp;OutputTable[[#This Row],[Type]]&amp;OutputTable[[#This Row],[Source]]</f>
        <v>Unnamed ProjectPECAS.NumberInNumber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504.6</v>
      </c>
      <c r="L67" cm="1">
        <f t="array" ref="L67">IFERROR(_xlfn.STDEV.S(IF((OutputTable[GroupByKey]=OutputTable[[#This Row],[GroupByKey]]),(OutputTable[GroupByKey]=OutputTable[[#This Row],[GroupByKey]])*OutputTable[RecordedValue])),0)</f>
        <v>15.414279094398156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11.026711000736963</v>
      </c>
      <c r="O67" cm="1">
        <f t="array" ref="O67">MIN(IF((OutputTable[GroupByKey]=OutputTable[[#This Row],[GroupByKey]]),(OutputTable[GroupByKey]=OutputTable[[#This Row],[GroupByKey]])*OutputTable[RecordedValue]))</f>
        <v>471</v>
      </c>
      <c r="P67" cm="1">
        <f t="array" ref="P67">MAX(IF((OutputTable[GroupByKey]=OutputTable[[#This Row],[GroupByKey]]),(OutputTable[GroupByKey]=OutputTable[[#This Row],[GroupByKey]])*OutputTable[RecordedValue]))</f>
        <v>522</v>
      </c>
    </row>
    <row r="68" spans="1:16" x14ac:dyDescent="0.3">
      <c r="A68" t="s">
        <v>66</v>
      </c>
      <c r="B68" t="s">
        <v>68</v>
      </c>
      <c r="C68">
        <v>10</v>
      </c>
      <c r="D68" t="s">
        <v>99</v>
      </c>
      <c r="E68" t="s">
        <v>100</v>
      </c>
      <c r="F68" t="s">
        <v>71</v>
      </c>
      <c r="G68">
        <v>490</v>
      </c>
      <c r="H68">
        <v>0</v>
      </c>
      <c r="I68" t="str">
        <f>OutputTable[[#This Row],[ProjectName]]&amp;OutputTable[[#This Row],[Name]]&amp;OutputTable[[#This Row],[Type]]&amp;OutputTable[[#This Row],[Source]]</f>
        <v>Unnamed ProjectPECAS.NumberOutNumber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502.3</v>
      </c>
      <c r="L68" cm="1">
        <f t="array" ref="L68">IFERROR(_xlfn.STDEV.S(IF((OutputTable[GroupByKey]=OutputTable[[#This Row],[GroupByKey]]),(OutputTable[GroupByKey]=OutputTable[[#This Row],[GroupByKey]])*OutputTable[RecordedValue])),0)</f>
        <v>15.070574714396999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68" cm="1">
        <f t="array" ref="O68">MIN(IF((OutputTable[GroupByKey]=OutputTable[[#This Row],[GroupByKey]]),(OutputTable[GroupByKey]=OutputTable[[#This Row],[GroupByKey]])*OutputTable[RecordedValue]))</f>
        <v>470</v>
      </c>
      <c r="P68" cm="1">
        <f t="array" ref="P68">MAX(IF((OutputTable[GroupByKey]=OutputTable[[#This Row],[GroupByKey]]),(OutputTable[GroupByKey]=OutputTable[[#This Row],[GroupByKey]])*OutputTable[RecordedValue]))</f>
        <v>521</v>
      </c>
    </row>
    <row r="69" spans="1:16" x14ac:dyDescent="0.3">
      <c r="A69" t="s">
        <v>66</v>
      </c>
      <c r="B69" t="s">
        <v>68</v>
      </c>
      <c r="C69">
        <v>10</v>
      </c>
      <c r="D69" t="s">
        <v>101</v>
      </c>
      <c r="E69" t="s">
        <v>94</v>
      </c>
      <c r="F69" t="s">
        <v>87</v>
      </c>
      <c r="G69">
        <v>213</v>
      </c>
      <c r="H69">
        <v>0</v>
      </c>
      <c r="I69" t="str">
        <f>OutputTable[[#This Row],[ProjectName]]&amp;OutputTable[[#This Row],[Name]]&amp;OutputTable[[#This Row],[Type]]&amp;OutputTable[[#This Row],[Source]]</f>
        <v>Unnamed ProjectReparador.NumberSeizedTotal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199.4</v>
      </c>
      <c r="L69" cm="1">
        <f t="array" ref="L69">IFERROR(_xlfn.STDEV.S(IF((OutputTable[GroupByKey]=OutputTable[[#This Row],[GroupByKey]]),(OutputTable[GroupByKey]=OutputTable[[#This Row],[GroupByKey]])*OutputTable[RecordedValue])),0)</f>
        <v>13.623509092741122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9.7456713130465058</v>
      </c>
      <c r="O69" cm="1">
        <f t="array" ref="O69">MIN(IF((OutputTable[GroupByKey]=OutputTable[[#This Row],[GroupByKey]]),(OutputTable[GroupByKey]=OutputTable[[#This Row],[GroupByKey]])*OutputTable[RecordedValue]))</f>
        <v>177</v>
      </c>
      <c r="P69" cm="1">
        <f t="array" ref="P69">MAX(IF((OutputTable[GroupByKey]=OutputTable[[#This Row],[GroupByKey]]),(OutputTable[GroupByKey]=OutputTable[[#This Row],[GroupByKey]])*OutputTable[RecordedValue]))</f>
        <v>213</v>
      </c>
    </row>
    <row r="70" spans="1:16" x14ac:dyDescent="0.3">
      <c r="A70" t="s">
        <v>66</v>
      </c>
      <c r="B70" t="s">
        <v>68</v>
      </c>
      <c r="C70">
        <v>10</v>
      </c>
      <c r="D70" t="s">
        <v>102</v>
      </c>
      <c r="E70" t="s">
        <v>96</v>
      </c>
      <c r="F70" t="s">
        <v>87</v>
      </c>
      <c r="G70">
        <v>0.211848867954925</v>
      </c>
      <c r="H70">
        <v>0</v>
      </c>
      <c r="I70" t="str">
        <f>OutputTable[[#This Row],[ProjectName]]&amp;OutputTable[[#This Row],[Name]]&amp;OutputTable[[#This Row],[Type]]&amp;OutputTable[[#This Row],[Source]]</f>
        <v>Unnamed ProjectReparador.ScheduledUtilizationScheduled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0.19913181661081703</v>
      </c>
      <c r="L70" cm="1">
        <f t="array" ref="L70">IFERROR(_xlfn.STDEV.S(IF((OutputTable[GroupByKey]=OutputTable[[#This Row],[GroupByKey]]),(OutputTable[GroupByKey]=OutputTable[[#This Row],[GroupByKey]])*OutputTable[RecordedValue])),0)</f>
        <v>1.2869584853188797E-2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9.2063464017040682E-3</v>
      </c>
      <c r="O70" cm="1">
        <f t="array" ref="O70">MIN(IF((OutputTable[GroupByKey]=OutputTable[[#This Row],[GroupByKey]]),(OutputTable[GroupByKey]=OutputTable[[#This Row],[GroupByKey]])*OutputTable[RecordedValue]))</f>
        <v>0.17745123836948901</v>
      </c>
      <c r="P70" cm="1">
        <f t="array" ref="P70">MAX(IF((OutputTable[GroupByKey]=OutputTable[[#This Row],[GroupByKey]]),(OutputTable[GroupByKey]=OutputTable[[#This Row],[GroupByKey]])*OutputTable[RecordedValue]))</f>
        <v>0.211848867954925</v>
      </c>
    </row>
    <row r="71" spans="1:16" x14ac:dyDescent="0.3">
      <c r="A71" t="s">
        <v>66</v>
      </c>
      <c r="B71" t="s">
        <v>68</v>
      </c>
      <c r="C71">
        <v>10</v>
      </c>
      <c r="D71" t="s">
        <v>103</v>
      </c>
      <c r="E71" t="s">
        <v>100</v>
      </c>
      <c r="F71" t="s">
        <v>104</v>
      </c>
      <c r="G71">
        <v>490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502.3</v>
      </c>
      <c r="L71" cm="1">
        <f t="array" ref="L71">IFERROR(_xlfn.STDEV.S(IF((OutputTable[GroupByKey]=OutputTable[[#This Row],[GroupByKey]]),(OutputTable[GroupByKey]=OutputTable[[#This Row],[GroupByKey]])*OutputTable[RecordedValue])),0)</f>
        <v>15.070574714396999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10.780839698890771</v>
      </c>
      <c r="O71" cm="1">
        <f t="array" ref="O71">MIN(IF((OutputTable[GroupByKey]=OutputTable[[#This Row],[GroupByKey]]),(OutputTable[GroupByKey]=OutputTable[[#This Row],[GroupByKey]])*OutputTable[RecordedValue]))</f>
        <v>470</v>
      </c>
      <c r="P71" cm="1">
        <f t="array" ref="P71">MAX(IF((OutputTable[GroupByKey]=OutputTable[[#This Row],[GroupByKey]]),(OutputTable[GroupByKey]=OutputTable[[#This Row],[GroupByKey]])*OutputTable[RecordedValue]))</f>
        <v>521</v>
      </c>
    </row>
  </sheetData>
  <phoneticPr fontId="2" type="noConversion"/>
  <conditionalFormatting sqref="I2:P71">
    <cfRule type="expression" dxfId="2" priority="2">
      <formula>MOD(ROW(),2)=0</formula>
    </cfRule>
  </conditionalFormatting>
  <conditionalFormatting sqref="N2:N71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3.6640625" bestFit="1" customWidth="1"/>
    <col min="12" max="12" width="28.88671875" bestFit="1" customWidth="1"/>
    <col min="13" max="13" width="29.5546875" bestFit="1" customWidth="1"/>
    <col min="14" max="14" width="16.21875" bestFit="1" customWidth="1"/>
    <col min="15" max="15" width="27.6640625" bestFit="1" customWidth="1"/>
    <col min="16" max="16" width="28.3320312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Luiz Mário Andrade</cp:lastModifiedBy>
  <cp:lastPrinted>2022-03-22T10:33:10Z</cp:lastPrinted>
  <dcterms:created xsi:type="dcterms:W3CDTF">2020-06-29T21:30:31Z</dcterms:created>
  <dcterms:modified xsi:type="dcterms:W3CDTF">2023-01-03T23:25:30Z</dcterms:modified>
</cp:coreProperties>
</file>