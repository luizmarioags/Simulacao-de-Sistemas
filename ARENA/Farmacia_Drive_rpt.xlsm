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ca2dfc1885a742a/Documents/2021-2/Pesquisa Operacional para Engenharia/Arena/Simulacao-de-Sistemas/ARENA/"/>
    </mc:Choice>
  </mc:AlternateContent>
  <xr:revisionPtr revIDLastSave="5" documentId="8_{F5015F95-E683-44CB-BA7D-FBDD96D7EADB}" xr6:coauthVersionLast="47" xr6:coauthVersionMax="47" xr10:uidLastSave="{6A259ED1-7B30-4685-91E8-29E81F68BC54}"/>
  <bookViews>
    <workbookView xWindow="-108" yWindow="-108" windowWidth="23256" windowHeight="12456" tabRatio="790" firstSheet="1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ContinuousTimeStatsByRep!$A$1:$L$7</definedName>
    <definedName name="ExternalData_1" localSheetId="4" hidden="1">CounterStatsByRep!$A$1:$G$2</definedName>
    <definedName name="ExternalData_1" localSheetId="2" hidden="1">DiscreteTimeStatsByRep!$A$1:$K$9</definedName>
    <definedName name="ExternalData_1" localSheetId="6" hidden="1">FrequencyStatsByRep!$A$1:$J$2</definedName>
    <definedName name="ExternalData_1" localSheetId="5" hidden="1">OutputStatsByRep!$A$1:$H$6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160" r:id="rId8"/>
    <pivotCache cacheId="166" r:id="rId9"/>
    <pivotCache cacheId="172" r:id="rId10"/>
    <pivotCache cacheId="178" r:id="rId11"/>
    <pivotCache cacheId="18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K2" i="20" s="1" a="1"/>
  <c r="K2" i="20" s="1"/>
  <c r="I4" i="20"/>
  <c r="I5" i="20"/>
  <c r="I6" i="20"/>
  <c r="K5" i="20" s="1" a="1"/>
  <c r="K5" i="20" s="1"/>
  <c r="J2" i="20" a="1"/>
  <c r="J2" i="20" s="1"/>
  <c r="J3" i="20" a="1"/>
  <c r="J3" i="20" s="1"/>
  <c r="J4" i="20" a="1"/>
  <c r="J4" i="20" s="1"/>
  <c r="J5" i="20" a="1"/>
  <c r="J5" i="20" s="1"/>
  <c r="J6" i="20" a="1"/>
  <c r="J6" i="20" s="1"/>
  <c r="K6" i="20" a="1"/>
  <c r="K6" i="20" s="1"/>
  <c r="L2" i="20" a="1"/>
  <c r="L2" i="20" s="1"/>
  <c r="L3" i="20" a="1"/>
  <c r="L3" i="20" s="1"/>
  <c r="L4" i="20" a="1"/>
  <c r="L4" i="20" s="1"/>
  <c r="L5" i="20" a="1"/>
  <c r="L5" i="20" s="1"/>
  <c r="L6" i="20" a="1"/>
  <c r="L6" i="20" s="1"/>
  <c r="M2" i="20" a="1"/>
  <c r="M2" i="20" s="1"/>
  <c r="M3" i="20" a="1"/>
  <c r="M3" i="20" s="1"/>
  <c r="M4" i="20" a="1"/>
  <c r="M4" i="20" s="1"/>
  <c r="M5" i="20" a="1"/>
  <c r="M5" i="20" s="1"/>
  <c r="M6" i="20" a="1"/>
  <c r="M6" i="20" s="1"/>
  <c r="O5" i="20" a="1"/>
  <c r="O5" i="20" s="1"/>
  <c r="P2" i="20" a="1"/>
  <c r="P2" i="20" s="1"/>
  <c r="P3" i="20" a="1"/>
  <c r="P3" i="20" s="1"/>
  <c r="P4" i="20" a="1"/>
  <c r="P4" i="20" s="1"/>
  <c r="P5" i="20" a="1"/>
  <c r="P5" i="20" s="1"/>
  <c r="P6" i="20" a="1"/>
  <c r="P6" i="20" s="1"/>
  <c r="M2" i="18"/>
  <c r="M3" i="18"/>
  <c r="S2" i="18" s="1" a="1"/>
  <c r="S2" i="18" s="1"/>
  <c r="M4" i="18"/>
  <c r="O4" i="18" s="1" a="1"/>
  <c r="O4" i="18" s="1"/>
  <c r="M5" i="18"/>
  <c r="M6" i="18"/>
  <c r="M7" i="18"/>
  <c r="O7" i="18" s="1" a="1"/>
  <c r="O7" i="18" s="1"/>
  <c r="N2" i="18" a="1"/>
  <c r="N2" i="18" s="1"/>
  <c r="U2" i="18" s="1"/>
  <c r="N3" i="18" a="1"/>
  <c r="N3" i="18" s="1"/>
  <c r="N4" i="18" a="1"/>
  <c r="N4" i="18" s="1"/>
  <c r="N5" i="18" a="1"/>
  <c r="N5" i="18" s="1"/>
  <c r="N6" i="18" a="1"/>
  <c r="N6" i="18" s="1"/>
  <c r="N7" i="18" a="1"/>
  <c r="N7" i="18" s="1"/>
  <c r="O2" i="18" a="1"/>
  <c r="O2" i="18" s="1"/>
  <c r="O5" i="18" a="1"/>
  <c r="O5" i="18" s="1"/>
  <c r="P6" i="18" a="1"/>
  <c r="P6" i="18" s="1"/>
  <c r="Q2" i="18" a="1"/>
  <c r="Q2" i="18" s="1"/>
  <c r="Q3" i="18" a="1"/>
  <c r="Q3" i="18" s="1"/>
  <c r="Q4" i="18" a="1"/>
  <c r="Q4" i="18"/>
  <c r="Q5" i="18" a="1"/>
  <c r="Q5" i="18" s="1"/>
  <c r="Q6" i="18" a="1"/>
  <c r="Q6" i="18" s="1"/>
  <c r="Q7" i="18" a="1"/>
  <c r="Q7" i="18" s="1"/>
  <c r="S3" i="18" a="1"/>
  <c r="S3" i="18" s="1"/>
  <c r="S4" i="18" a="1"/>
  <c r="S4" i="18" s="1"/>
  <c r="S7" i="18" a="1"/>
  <c r="S7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T7" i="18" a="1"/>
  <c r="T7" i="18" s="1"/>
  <c r="L2" i="17"/>
  <c r="L3" i="17"/>
  <c r="V4" i="17" s="1" a="1"/>
  <c r="V4" i="17" s="1"/>
  <c r="L4" i="17"/>
  <c r="L5" i="17"/>
  <c r="L6" i="17"/>
  <c r="L7" i="17"/>
  <c r="L8" i="17"/>
  <c r="S2" i="17" s="1" a="1"/>
  <c r="S2" i="17" s="1"/>
  <c r="L9" i="17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S4" i="17" a="1"/>
  <c r="S4" i="17" s="1"/>
  <c r="T4" i="17" a="1"/>
  <c r="T4" i="17" s="1"/>
  <c r="U4" i="17" a="1"/>
  <c r="U4" i="17" s="1"/>
  <c r="X4" i="17" a="1"/>
  <c r="X4" i="17" s="1"/>
  <c r="G2" i="16"/>
  <c r="N4" i="20" l="1"/>
  <c r="N3" i="20"/>
  <c r="N2" i="20"/>
  <c r="N6" i="20"/>
  <c r="N5" i="20"/>
  <c r="K3" i="20" a="1"/>
  <c r="K3" i="20" s="1"/>
  <c r="O4" i="20" a="1"/>
  <c r="O4" i="20" s="1"/>
  <c r="O3" i="20" a="1"/>
  <c r="O3" i="20" s="1"/>
  <c r="K4" i="20" a="1"/>
  <c r="K4" i="20" s="1"/>
  <c r="O6" i="20" a="1"/>
  <c r="O6" i="20" s="1"/>
  <c r="O2" i="20" a="1"/>
  <c r="O2" i="20" s="1"/>
  <c r="R6" i="18"/>
  <c r="U6" i="18"/>
  <c r="S5" i="18" a="1"/>
  <c r="S5" i="18" s="1"/>
  <c r="P3" i="18" a="1"/>
  <c r="P3" i="18" s="1"/>
  <c r="O3" i="18" a="1"/>
  <c r="O3" i="18" s="1"/>
  <c r="P2" i="18" a="1"/>
  <c r="P2" i="18" s="1"/>
  <c r="R2" i="18" s="1"/>
  <c r="P7" i="18" a="1"/>
  <c r="P7" i="18" s="1"/>
  <c r="O6" i="18" a="1"/>
  <c r="O6" i="18" s="1"/>
  <c r="P5" i="18" a="1"/>
  <c r="P5" i="18" s="1"/>
  <c r="R5" i="18" s="1"/>
  <c r="S6" i="18" a="1"/>
  <c r="S6" i="18" s="1"/>
  <c r="P4" i="18" a="1"/>
  <c r="P4" i="18" s="1"/>
  <c r="U7" i="18"/>
  <c r="R7" i="18"/>
  <c r="R3" i="18"/>
  <c r="U3" i="18"/>
  <c r="U5" i="18"/>
  <c r="R4" i="18"/>
  <c r="U4" i="18"/>
  <c r="U5" i="17" a="1"/>
  <c r="U5" i="17" s="1"/>
  <c r="U3" i="17" a="1"/>
  <c r="U3" i="17" s="1"/>
  <c r="R3" i="17" a="1"/>
  <c r="R3" i="17" s="1"/>
  <c r="V2" i="17" a="1"/>
  <c r="V2" i="17" s="1"/>
  <c r="U2" i="17" a="1"/>
  <c r="U2" i="17" s="1"/>
  <c r="R2" i="17" a="1"/>
  <c r="R2" i="17" s="1"/>
  <c r="O2" i="17" a="1"/>
  <c r="O2" i="17" s="1"/>
  <c r="V3" i="17" a="1"/>
  <c r="V3" i="17" s="1"/>
  <c r="S3" i="17" a="1"/>
  <c r="S3" i="17" s="1"/>
  <c r="O3" i="17" a="1"/>
  <c r="O3" i="17" s="1"/>
  <c r="X2" i="17" a="1"/>
  <c r="X2" i="17" s="1"/>
  <c r="X9" i="17" a="1"/>
  <c r="X9" i="17" s="1"/>
  <c r="V9" i="17" a="1"/>
  <c r="V9" i="17" s="1"/>
  <c r="U9" i="17" a="1"/>
  <c r="U9" i="17" s="1"/>
  <c r="T9" i="17" a="1"/>
  <c r="T9" i="17" s="1"/>
  <c r="S9" i="17" a="1"/>
  <c r="S9" i="17" s="1"/>
  <c r="R9" i="17" a="1"/>
  <c r="R9" i="17" s="1"/>
  <c r="O9" i="17" a="1"/>
  <c r="O9" i="17" s="1"/>
  <c r="N9" i="17" a="1"/>
  <c r="N9" i="17" s="1"/>
  <c r="X3" i="17" a="1"/>
  <c r="X3" i="17" s="1"/>
  <c r="Y3" i="17" s="1"/>
  <c r="Q3" i="17" s="1"/>
  <c r="T3" i="17" a="1"/>
  <c r="T3" i="17" s="1"/>
  <c r="N2" i="17" a="1"/>
  <c r="N2" i="17" s="1"/>
  <c r="T2" i="17" a="1"/>
  <c r="T2" i="17" s="1"/>
  <c r="X8" i="17" a="1"/>
  <c r="X8" i="17" s="1"/>
  <c r="Y8" i="17" s="1"/>
  <c r="V8" i="17" a="1"/>
  <c r="V8" i="17" s="1"/>
  <c r="U8" i="17" a="1"/>
  <c r="U8" i="17" s="1"/>
  <c r="T8" i="17" a="1"/>
  <c r="T8" i="17" s="1"/>
  <c r="S8" i="17" a="1"/>
  <c r="S8" i="17" s="1"/>
  <c r="R8" i="17" a="1"/>
  <c r="R8" i="17" s="1"/>
  <c r="O8" i="17" a="1"/>
  <c r="O8" i="17" s="1"/>
  <c r="N8" i="17" a="1"/>
  <c r="N8" i="17" s="1"/>
  <c r="O4" i="17" a="1"/>
  <c r="O4" i="17" s="1"/>
  <c r="X7" i="17" a="1"/>
  <c r="X7" i="17" s="1"/>
  <c r="V7" i="17" a="1"/>
  <c r="V7" i="17" s="1"/>
  <c r="U7" i="17" a="1"/>
  <c r="U7" i="17" s="1"/>
  <c r="T7" i="17" a="1"/>
  <c r="T7" i="17" s="1"/>
  <c r="S7" i="17" a="1"/>
  <c r="S7" i="17" s="1"/>
  <c r="R7" i="17" a="1"/>
  <c r="R7" i="17" s="1"/>
  <c r="O7" i="17" a="1"/>
  <c r="O7" i="17" s="1"/>
  <c r="N7" i="17" a="1"/>
  <c r="N7" i="17" s="1"/>
  <c r="X6" i="17" a="1"/>
  <c r="X6" i="17" s="1"/>
  <c r="V6" i="17" a="1"/>
  <c r="V6" i="17" s="1"/>
  <c r="U6" i="17" a="1"/>
  <c r="U6" i="17" s="1"/>
  <c r="T6" i="17" a="1"/>
  <c r="T6" i="17" s="1"/>
  <c r="S6" i="17" a="1"/>
  <c r="S6" i="17" s="1"/>
  <c r="R6" i="17" a="1"/>
  <c r="R6" i="17" s="1"/>
  <c r="O6" i="17" a="1"/>
  <c r="O6" i="17" s="1"/>
  <c r="N6" i="17" a="1"/>
  <c r="N6" i="17" s="1"/>
  <c r="R4" i="17" a="1"/>
  <c r="R4" i="17" s="1"/>
  <c r="X5" i="17" a="1"/>
  <c r="X5" i="17" s="1"/>
  <c r="Y5" i="17" s="1"/>
  <c r="Q5" i="17" s="1"/>
  <c r="V5" i="17" a="1"/>
  <c r="V5" i="17" s="1"/>
  <c r="T5" i="17" a="1"/>
  <c r="T5" i="17" s="1"/>
  <c r="S5" i="17" a="1"/>
  <c r="S5" i="17" s="1"/>
  <c r="R5" i="17" a="1"/>
  <c r="R5" i="17" s="1"/>
  <c r="O5" i="17" a="1"/>
  <c r="O5" i="17" s="1"/>
  <c r="N5" i="17" a="1"/>
  <c r="N5" i="17" s="1"/>
  <c r="W7" i="17"/>
  <c r="Y7" i="17"/>
  <c r="Q7" i="17" s="1"/>
  <c r="W9" i="17"/>
  <c r="Y9" i="17"/>
  <c r="W8" i="17"/>
  <c r="W3" i="17"/>
  <c r="W6" i="17"/>
  <c r="Y6" i="17"/>
  <c r="Q6" i="17" s="1"/>
  <c r="W5" i="17"/>
  <c r="W4" i="17"/>
  <c r="Y4" i="17"/>
  <c r="Y2" i="17"/>
  <c r="Q2" i="17" s="1"/>
  <c r="W2" i="17"/>
  <c r="N4" i="17" a="1"/>
  <c r="N4" i="17" s="1"/>
  <c r="N3" i="17" a="1"/>
  <c r="N3" i="17" s="1"/>
  <c r="Q8" i="17" l="1"/>
  <c r="Q4" i="17"/>
  <c r="Q9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uizm\OneDrive\documents\2021-2\pesquisa operacional para engenharia\arena\simulacao-de-sistemas\arena\farmacia_drive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uizm\OneDrive\documents\2021-2\pesquisa operacional para engenharia\arena\simulacao-de-sistemas\arena\farmacia_drive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uizm\OneDrive\documents\2021-2\pesquisa operacional para engenharia\arena\simulacao-de-sistemas\arena\farmacia_drive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uizm\OneDrive\documents\2021-2\pesquisa operacional para engenharia\arena\simulacao-de-sistemas\arena\farmacia_drive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uizm\OneDrive\documents\2021-2\pesquisa operacional para engenharia\arena\simulacao-de-sistemas\arena\farmacia_drive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uizm\OneDrive\documents\2021-2\pesquisa operacional para engenharia\arena\simulacao-de-sistemas\arena\farmacia_drive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<sst xmlns="http://schemas.openxmlformats.org/spreadsheetml/2006/main" count="312" uniqueCount="103">
  <si>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</si>
  <si>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</si>
  <si>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</si>
  <si>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</si>
  <si>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</si>
  <si>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</si>
  <si>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</si>
  <si>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</si>
  <si>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</si>
  <si>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</si>
  <si>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</si>
  <si>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</si>
  <si>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</si>
  <si>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</si>
  <si>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</si>
  <si>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</si>
  <si>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</si>
  <si>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</si>
  <si>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</si>
  <si>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</si>
  <si>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</si>
  <si>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</si>
  <si>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</si>
  <si>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</si>
  <si>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</si>
  <si>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</si>
  <si>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</si>
  <si>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</si>
  <si>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</si>
  <si>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</si>
  <si>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</si>
  <si>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</si>
  <si>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</si>
  <si>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</si>
  <si>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</si>
  <si>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</si>
  <si>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</si>
  <si>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</si>
  <si>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</si>
  <si>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</si>
  <si>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</si>
  <si>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</si>
  <si>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</si>
  <si>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</si>
  <si>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</si>
  <si>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</si>
  <si>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</si>
  <si>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</si>
  <si>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</si>
  <si>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</si>
  <si>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</si>
  <si>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</si>
  <si>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</si>
  <si>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</si>
  <si>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</si>
  <si>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</si>
  <si>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</si>
  <si>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</si>
  <si>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</si>
  <si>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</si>
  <si>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</si>
  <si>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</si>
  <si>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</si>
  <si>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</si>
  <si>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</si>
  <si>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</si>
  <si>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</si>
  <si>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C:\Users\luizm\OneDrive\Documents\2021-2\Pesquisa Operacional para Engenharia\Arena\Simulacao-de-Sistemas\ARENA\Farmacia_Drive.p</t>
  </si>
  <si>
    <t>2023-01-26 20:23:02</t>
  </si>
  <si>
    <t>Costumer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</si>
  <si>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</si>
  <si>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</si>
  <si>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</si>
  <si>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</si>
  <si>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</si>
  <si>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</si>
  <si>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</si>
  <si>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Get Medicine.Queue</t>
  </si>
  <si>
    <t>Waiting Time</t>
  </si>
  <si>
    <t>Queue</t>
  </si>
  <si>
    <t>System Time</t>
  </si>
  <si>
    <t>Expression</t>
  </si>
  <si>
    <t>User Specified</t>
  </si>
  <si>
    <t>WIP</t>
  </si>
  <si>
    <t>Number Waiting</t>
  </si>
  <si>
    <t>Pharmacist</t>
  </si>
  <si>
    <t>Instantaneous Utilization</t>
  </si>
  <si>
    <t>Resource</t>
  </si>
  <si>
    <t>Number Busy</t>
  </si>
  <si>
    <t>Number Scheduled</t>
  </si>
  <si>
    <t>vNumPrescriptions</t>
  </si>
  <si>
    <t>Variable</t>
  </si>
  <si>
    <t>Costumer.NumberIn</t>
  </si>
  <si>
    <t>Number In</t>
  </si>
  <si>
    <t>Costumer.NumberOut</t>
  </si>
  <si>
    <t>Number Out</t>
  </si>
  <si>
    <t>Pharmacist.NumberSeized</t>
  </si>
  <si>
    <t>Total Number Seized</t>
  </si>
  <si>
    <t>Pharmacist.ScheduledUtilization</t>
  </si>
  <si>
    <t>Scheduled Utilization</t>
  </si>
  <si>
    <t>System.NumberOut</t>
  </si>
  <si>
    <t>System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</si>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</sst>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2"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fill>
        <patternFill>
          <bgColor theme="6"/>
        </patternFill>
      </fill>
    </dxf>
    <dxf>
      <numFmt numFmtId="164" formatCode="[=400000000000000000000]&quot;NoCalc&quot;;;"/>
    </dxf>
    <dxf>
      <numFmt numFmtId="166" formatCode="[=300000000000000000000]&quot;Correlated&quot;;;"/>
    </dxf>
    <dxf>
      <numFmt numFmtId="165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5" formatCode="[=200000000000000000000]&quot;Insufficient&quot;;;"/>
    </dxf>
    <dxf>
      <numFmt numFmtId="166" formatCode="[=300000000000000000000]&quot;Correlated&quot;;;"/>
    </dxf>
    <dxf>
      <numFmt numFmtId="167" formatCode="[=1]&quot;Yes&quot;;;"/>
    </dxf>
    <dxf>
      <numFmt numFmtId="167" formatCode="[=1]&quot;Yes&quot;;;"/>
    </dxf>
    <dxf>
      <numFmt numFmtId="168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5" formatCode="[=200000000000000000000]&quot;Insufficient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4" formatCode="[=400000000000000000000]&quot;NoCalc&quot;;;"/>
    </dxf>
    <dxf>
      <numFmt numFmtId="167" formatCode="[=1]&quot;Yes&quot;;;"/>
      <border>
        <left/>
        <right/>
        <top/>
        <bottom/>
      </border>
    </dxf>
    <dxf>
      <numFmt numFmtId="168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5" formatCode="[=200000000000000000000]&quot;Insufficient&quot;;;"/>
    </dxf>
    <dxf>
      <numFmt numFmtId="165" formatCode="[=200000000000000000000]&quot;Insufficient&quot;;;"/>
    </dxf>
    <dxf>
      <numFmt numFmtId="169" formatCode="[=0]&quot;Days&quot;;;"/>
    </dxf>
    <dxf>
      <numFmt numFmtId="170" formatCode="[=1]&quot;Hours&quot;;;"/>
    </dxf>
    <dxf>
      <numFmt numFmtId="171" formatCode="[=2]&quot;Minutes&quot;;;"/>
    </dxf>
    <dxf>
      <numFmt numFmtId="172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52.851584143522" createdVersion="7" refreshedVersion="8" minRefreshableVersion="3" recordCount="6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28">
        <s v="Costumer"/>
        <s v="Get Medicine.Queue"/>
        <s v="Pharmacist"/>
        <s v="vNumPrescriptions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8">
        <s v="WIP"/>
        <s v="Number Waiting"/>
        <s v="Instantaneous Utilization"/>
        <s v="Number Busy"/>
        <s v="Number Scheduled"/>
        <s v="Variable"/>
        <m u="1"/>
        <s v="Levels" u="1"/>
      </sharedItems>
    </cacheField>
    <cacheField name="Source" numFmtId="0">
      <sharedItems containsBlank="1" count="5">
        <s v="Entity"/>
        <s v="Queue"/>
        <s v="Resource"/>
        <s v="User Specified"/>
        <m u="1"/>
      </sharedItems>
    </cacheField>
    <cacheField name="Average" numFmtId="0">
      <sharedItems containsSemiMixedTypes="0" containsString="0" containsNumber="1" minValue="0.31808168562454903" maxValue="1.4031570393824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5"/>
    </cacheField>
    <cacheField name="LastRecordedValue" numFmtId="0">
      <sharedItems containsSemiMixedTypes="0" containsString="0" containsNumber="1" containsInteger="1" minValue="0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.31808168562454903" maxValue="1.4031570393824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.31808168562454903" maxValue="1.40315703938243"/>
    </cacheField>
    <cacheField name="MaximumAverage" numFmtId="0">
      <sharedItems containsSemiMixedTypes="0" containsString="0" containsNumber="1" minValue="0.31808168562454903" maxValue="1.40315703938243"/>
    </cacheField>
    <cacheField name="SummaryHalfWidth" numFmtId="0">
      <sharedItems containsSemiMixedTypes="0" containsString="0" containsNumber="1" containsInteger="1" minValue="2E+20" maxValue="2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52.851584606484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52.851585069446" createdVersion="7" refreshedVersion="8" minRefreshableVersion="3" recordCount="8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2">
        <s v="Costumer"/>
        <s v="Get Medicine.Queue"/>
        <s v="System Tim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3">
        <s v="NVA Time"/>
        <s v="Other Time"/>
        <s v="Total Time"/>
        <s v="Transfer Time"/>
        <s v="VA Time"/>
        <s v="Wait Time"/>
        <s v="Waiting Time"/>
        <s v="Expression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s v="User Specified"/>
        <m u="1"/>
        <s v="Process" u="1"/>
      </sharedItems>
    </cacheField>
    <cacheField name="Average" numFmtId="0">
      <sharedItems containsSemiMixedTypes="0" containsString="0" containsNumber="1" minValue="0" maxValue="7.1095998198354904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18051406125750899"/>
    </cacheField>
    <cacheField name="Maximum" numFmtId="0">
      <sharedItems containsSemiMixedTypes="0" containsString="0" containsNumber="1" minValue="0" maxValue="19.911286367630399"/>
    </cacheField>
    <cacheField name="NumberObservations" numFmtId="0">
      <sharedItems containsSemiMixedTypes="0" containsString="0" containsNumber="1" containsInteger="1" minValue="30" maxValue="3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7.1095998198354904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7.1095998198354904"/>
    </cacheField>
    <cacheField name="MaximumAverage" numFmtId="0">
      <sharedItems containsSemiMixedTypes="0" containsString="0" containsNumber="1" minValue="0" maxValue="7.1095998198354904"/>
    </cacheField>
    <cacheField name="OverallMinimum" numFmtId="0">
      <sharedItems containsSemiMixedTypes="0" containsString="0" containsNumber="1" minValue="0" maxValue="0.18051406125750899"/>
    </cacheField>
    <cacheField name="OverallMaximum" numFmtId="0">
      <sharedItems containsSemiMixedTypes="0" containsString="0" containsNumber="1" minValue="0" maxValue="19.911286367630399"/>
    </cacheField>
    <cacheField name="AverageNumberObservations" numFmtId="0">
      <sharedItems containsSemiMixedTypes="0" containsString="0" containsNumber="1" containsInteger="1" minValue="30" maxValue="30"/>
    </cacheField>
    <cacheField name="SummaryHalfWidth" numFmtId="0">
      <sharedItems containsSemiMixedTypes="0" containsString="0" containsNumber="1" containsInteger="1" minValue="2E+20" maxValue="2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52.851585300923" createdVersion="7" refreshedVersion="8" minRefreshableVersion="3" recordCount="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3">
        <s v="Costumer.NumberIn"/>
        <s v="Costumer.NumberOut"/>
        <s v="Pharmacist.NumberSeized"/>
        <s v="Pharmacist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52431747733606804" maxValue="30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52431747733606804" maxValue="30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52431747733606804" maxValue="30"/>
    </cacheField>
    <cacheField name="Maximum" numFmtId="0">
      <sharedItems containsSemiMixedTypes="0" containsString="0" containsNumber="1" minValue="0.52431747733606804" maxValue="3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z Mário Andrade" refreshedDate="44952.851585648146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s v="2023-01-26 20:23:02"/>
    <n v="1"/>
    <x v="0"/>
    <x v="0"/>
    <x v="0"/>
    <n v="0.84239916296061701"/>
    <n v="2E+20"/>
    <n v="0"/>
    <n v="3"/>
    <n v="0"/>
    <n v="0"/>
    <s v="Unnamed ProjectCostumerWIPEntity"/>
    <n v="1"/>
    <n v="0.84239916296061701"/>
    <n v="0"/>
    <n v="0.95"/>
    <n v="4E+20"/>
    <n v="0.84239916296061701"/>
    <n v="0.84239916296061701"/>
    <n v="2E+20"/>
  </r>
  <r>
    <x v="0"/>
    <s v="2023-01-26 20:23:02"/>
    <n v="1"/>
    <x v="1"/>
    <x v="1"/>
    <x v="1"/>
    <n v="0.31808168562454903"/>
    <n v="2E+20"/>
    <n v="0"/>
    <n v="2"/>
    <n v="0"/>
    <n v="0"/>
    <s v="Unnamed ProjectGet Medicine.QueueNumber WaitingQueue"/>
    <n v="1"/>
    <n v="0.31808168562454903"/>
    <n v="0"/>
    <n v="0.95"/>
    <n v="4E+20"/>
    <n v="0.31808168562454903"/>
    <n v="0.31808168562454903"/>
    <n v="2E+20"/>
  </r>
  <r>
    <x v="0"/>
    <s v="2023-01-26 20:23:02"/>
    <n v="1"/>
    <x v="2"/>
    <x v="2"/>
    <x v="2"/>
    <n v="0.52431747733606804"/>
    <n v="2E+20"/>
    <n v="0"/>
    <n v="1"/>
    <n v="0"/>
    <n v="0"/>
    <s v="Unnamed ProjectPharmacistInstantaneous UtilizationResource"/>
    <n v="1"/>
    <n v="0.52431747733606804"/>
    <n v="0"/>
    <n v="0.95"/>
    <n v="4E+20"/>
    <n v="0.52431747733606804"/>
    <n v="0.52431747733606804"/>
    <n v="2E+20"/>
  </r>
  <r>
    <x v="0"/>
    <s v="2023-01-26 20:23:02"/>
    <n v="1"/>
    <x v="2"/>
    <x v="3"/>
    <x v="2"/>
    <n v="0.52431747733606804"/>
    <n v="2E+20"/>
    <n v="0"/>
    <n v="1"/>
    <n v="0"/>
    <n v="0"/>
    <s v="Unnamed ProjectPharmacistNumber BusyResource"/>
    <n v="1"/>
    <n v="0.52431747733606804"/>
    <n v="0"/>
    <n v="0.95"/>
    <n v="4E+20"/>
    <n v="0.52431747733606804"/>
    <n v="0.52431747733606804"/>
    <n v="2E+20"/>
  </r>
  <r>
    <x v="0"/>
    <s v="2023-01-26 20:23:02"/>
    <n v="1"/>
    <x v="2"/>
    <x v="4"/>
    <x v="2"/>
    <n v="1"/>
    <n v="2E+20"/>
    <n v="1"/>
    <n v="1"/>
    <n v="1"/>
    <n v="0"/>
    <s v="Unnamed ProjectPharmacistNumber ScheduledResource"/>
    <n v="1"/>
    <n v="1"/>
    <n v="0"/>
    <n v="0.95"/>
    <n v="4E+20"/>
    <n v="1"/>
    <n v="1"/>
    <n v="2E+20"/>
  </r>
  <r>
    <x v="0"/>
    <s v="2023-01-26 20:23:02"/>
    <n v="1"/>
    <x v="3"/>
    <x v="5"/>
    <x v="3"/>
    <n v="1.40315703938243"/>
    <n v="2E+20"/>
    <n v="0"/>
    <n v="5"/>
    <n v="0"/>
    <n v="0"/>
    <s v="Unnamed ProjectvNumPrescriptionsVariableUser Specified"/>
    <n v="1"/>
    <n v="1.40315703938243"/>
    <n v="0"/>
    <n v="0.95"/>
    <n v="4E+20"/>
    <n v="1.40315703938243"/>
    <n v="1.40315703938243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s v="2023-01-26 20:23:02"/>
    <n v="1"/>
    <x v="0"/>
    <x v="0"/>
    <x v="0"/>
    <n v="0"/>
    <n v="2E+20"/>
    <n v="0"/>
    <n v="0"/>
    <n v="30"/>
    <s v="Unnamed ProjectCostumerNVA TimeEntity"/>
    <n v="1"/>
    <n v="0"/>
    <n v="0"/>
    <n v="0.95"/>
    <n v="4E+20"/>
    <n v="0"/>
    <n v="0"/>
    <n v="0"/>
    <n v="0"/>
    <n v="30"/>
    <n v="2E+20"/>
    <n v="1"/>
    <n v="1"/>
  </r>
  <r>
    <x v="0"/>
    <s v="2023-01-26 20:23:02"/>
    <n v="1"/>
    <x v="0"/>
    <x v="1"/>
    <x v="0"/>
    <n v="0"/>
    <n v="2E+20"/>
    <n v="0"/>
    <n v="0"/>
    <n v="30"/>
    <s v="Unnamed ProjectCostumerOther TimeEntity"/>
    <n v="1"/>
    <n v="0"/>
    <n v="0"/>
    <n v="0.95"/>
    <n v="4E+20"/>
    <n v="0"/>
    <n v="0"/>
    <n v="0"/>
    <n v="0"/>
    <n v="30"/>
    <n v="2E+20"/>
    <n v="1"/>
    <n v="1"/>
  </r>
  <r>
    <x v="0"/>
    <s v="2023-01-26 20:23:02"/>
    <n v="1"/>
    <x v="0"/>
    <x v="2"/>
    <x v="0"/>
    <n v="7.1095998198354904"/>
    <n v="2E+20"/>
    <n v="0.18051406125750899"/>
    <n v="19.911286367630399"/>
    <n v="30"/>
    <s v="Unnamed ProjectCostumerTotal TimeEntity"/>
    <n v="1"/>
    <n v="7.1095998198354904"/>
    <n v="0"/>
    <n v="0.95"/>
    <n v="4E+20"/>
    <n v="7.1095998198354904"/>
    <n v="7.1095998198354904"/>
    <n v="0.18051406125750899"/>
    <n v="19.911286367630399"/>
    <n v="30"/>
    <n v="2E+20"/>
    <n v="1"/>
    <n v="1"/>
  </r>
  <r>
    <x v="0"/>
    <s v="2023-01-26 20:23:02"/>
    <n v="1"/>
    <x v="0"/>
    <x v="3"/>
    <x v="0"/>
    <n v="0"/>
    <n v="2E+20"/>
    <n v="0"/>
    <n v="0"/>
    <n v="30"/>
    <s v="Unnamed ProjectCostumerTransfer TimeEntity"/>
    <n v="1"/>
    <n v="0"/>
    <n v="0"/>
    <n v="0.95"/>
    <n v="4E+20"/>
    <n v="0"/>
    <n v="0"/>
    <n v="0"/>
    <n v="0"/>
    <n v="30"/>
    <n v="2E+20"/>
    <n v="1"/>
    <n v="1"/>
  </r>
  <r>
    <x v="0"/>
    <s v="2023-01-26 20:23:02"/>
    <n v="1"/>
    <x v="0"/>
    <x v="4"/>
    <x v="0"/>
    <n v="4.4250844567605299"/>
    <n v="2E+20"/>
    <n v="0.18051406125750899"/>
    <n v="11.0525553149911"/>
    <n v="30"/>
    <s v="Unnamed ProjectCostumerVA TimeEntity"/>
    <n v="1"/>
    <n v="4.4250844567605299"/>
    <n v="0"/>
    <n v="0.95"/>
    <n v="4E+20"/>
    <n v="4.4250844567605299"/>
    <n v="4.4250844567605299"/>
    <n v="0.18051406125750899"/>
    <n v="11.0525553149911"/>
    <n v="30"/>
    <n v="2E+20"/>
    <n v="1"/>
    <n v="1"/>
  </r>
  <r>
    <x v="0"/>
    <s v="2023-01-26 20:23:02"/>
    <n v="1"/>
    <x v="0"/>
    <x v="5"/>
    <x v="0"/>
    <n v="2.6845153630749601"/>
    <n v="2E+20"/>
    <n v="0"/>
    <n v="13.469434340700101"/>
    <n v="30"/>
    <s v="Unnamed ProjectCostumerWait TimeEntity"/>
    <n v="1"/>
    <n v="2.6845153630749601"/>
    <n v="0"/>
    <n v="0.95"/>
    <n v="4E+20"/>
    <n v="2.6845153630749601"/>
    <n v="2.6845153630749601"/>
    <n v="0"/>
    <n v="13.469434340700101"/>
    <n v="30"/>
    <n v="2E+20"/>
    <n v="1"/>
    <n v="1"/>
  </r>
  <r>
    <x v="0"/>
    <s v="2023-01-26 20:23:02"/>
    <n v="1"/>
    <x v="1"/>
    <x v="6"/>
    <x v="1"/>
    <n v="2.6845153630749601"/>
    <n v="2E+20"/>
    <n v="0"/>
    <n v="13.469434340700101"/>
    <n v="30"/>
    <s v="Unnamed ProjectGet Medicine.QueueWaiting TimeQueue"/>
    <n v="1"/>
    <n v="2.6845153630749601"/>
    <n v="0"/>
    <n v="0.95"/>
    <n v="4E+20"/>
    <n v="2.6845153630749601"/>
    <n v="2.6845153630749601"/>
    <n v="0"/>
    <n v="13.469434340700101"/>
    <n v="30"/>
    <n v="2E+20"/>
    <n v="1"/>
    <n v="1"/>
  </r>
  <r>
    <x v="0"/>
    <s v="2023-01-26 20:23:02"/>
    <n v="1"/>
    <x v="2"/>
    <x v="7"/>
    <x v="2"/>
    <n v="7.1095998198354904"/>
    <n v="2E+20"/>
    <n v="0.18051406125750899"/>
    <n v="19.911286367630399"/>
    <n v="30"/>
    <s v="Unnamed ProjectSystem TimeExpressionUser Specified"/>
    <n v="1"/>
    <n v="7.1095998198354904"/>
    <n v="0"/>
    <n v="0.95"/>
    <n v="4E+20"/>
    <n v="7.1095998198354904"/>
    <n v="7.1095998198354904"/>
    <n v="0.18051406125750899"/>
    <n v="19.911286367630399"/>
    <n v="30"/>
    <n v="2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3-01-26 20:23:02"/>
    <n v="1"/>
    <x v="0"/>
    <x v="0"/>
    <x v="0"/>
    <n v="30"/>
    <n v="0"/>
    <s v="Unnamed ProjectCostumer.NumberInNumber InEntity"/>
    <n v="1"/>
    <n v="30"/>
    <n v="0"/>
    <n v="0.95"/>
    <n v="4E+20"/>
    <n v="30"/>
    <n v="30"/>
  </r>
  <r>
    <x v="0"/>
    <s v="2023-01-26 20:23:02"/>
    <n v="1"/>
    <x v="1"/>
    <x v="1"/>
    <x v="0"/>
    <n v="30"/>
    <n v="0"/>
    <s v="Unnamed ProjectCostumer.NumberOutNumber OutEntity"/>
    <n v="1"/>
    <n v="30"/>
    <n v="0"/>
    <n v="0.95"/>
    <n v="4E+20"/>
    <n v="30"/>
    <n v="30"/>
  </r>
  <r>
    <x v="0"/>
    <s v="2023-01-26 20:23:02"/>
    <n v="1"/>
    <x v="2"/>
    <x v="2"/>
    <x v="1"/>
    <n v="30"/>
    <n v="0"/>
    <s v="Unnamed ProjectPharmacist.NumberSeizedTotal Number SeizedResource"/>
    <n v="1"/>
    <n v="30"/>
    <n v="0"/>
    <n v="0.95"/>
    <n v="4E+20"/>
    <n v="30"/>
    <n v="30"/>
  </r>
  <r>
    <x v="0"/>
    <s v="2023-01-26 20:23:02"/>
    <n v="1"/>
    <x v="3"/>
    <x v="3"/>
    <x v="1"/>
    <n v="0.52431747733606804"/>
    <n v="0"/>
    <s v="Unnamed ProjectPharmacist.ScheduledUtilizationScheduled UtilizationResource"/>
    <n v="1"/>
    <n v="0.52431747733606804"/>
    <n v="0"/>
    <n v="0.95"/>
    <n v="4E+20"/>
    <n v="0.52431747733606804"/>
    <n v="0.52431747733606804"/>
  </r>
  <r>
    <x v="0"/>
    <s v="2023-01-26 20:23:02"/>
    <n v="1"/>
    <x v="4"/>
    <x v="1"/>
    <x v="2"/>
    <n v="30"/>
    <n v="0"/>
    <s v="Unnamed ProjectSystem.NumberOutNumber OutSystem"/>
    <n v="1"/>
    <n v="30"/>
    <n v="0"/>
    <n v="0.95"/>
    <n v="4E+20"/>
    <n v="30"/>
    <n v="3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1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8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8">
        <item m="1" x="19"/>
        <item m="1" x="10"/>
        <item m="1" x="26"/>
        <item m="1" x="35"/>
        <item m="1" x="48"/>
        <item m="1" x="47"/>
        <item m="1" x="11"/>
        <item m="1" x="112"/>
        <item m="1" x="90"/>
        <item m="1" x="53"/>
        <item m="1" x="40"/>
        <item m="1" x="44"/>
        <item m="1" x="126"/>
        <item m="1" x="29"/>
        <item m="1" x="111"/>
        <item m="1" x="33"/>
        <item m="1" x="84"/>
        <item m="1" x="98"/>
        <item m="1" x="8"/>
        <item m="1" x="34"/>
        <item m="1" x="121"/>
        <item m="1" x="23"/>
        <item m="1" x="113"/>
        <item m="1" x="12"/>
        <item m="1" x="39"/>
        <item m="1" x="65"/>
        <item m="1" x="9"/>
        <item m="1" x="15"/>
        <item m="1" x="85"/>
        <item m="1" x="66"/>
        <item m="1" x="100"/>
        <item m="1" x="56"/>
        <item m="1" x="20"/>
        <item m="1" x="50"/>
        <item m="1" x="86"/>
        <item m="1" x="71"/>
        <item m="1" x="21"/>
        <item m="1" x="31"/>
        <item m="1" x="93"/>
        <item m="1" x="7"/>
        <item m="1" x="120"/>
        <item m="1" x="78"/>
        <item m="1" x="18"/>
        <item m="1" x="103"/>
        <item m="1" x="49"/>
        <item m="1" x="122"/>
        <item m="1" x="83"/>
        <item m="1" x="25"/>
        <item m="1" x="70"/>
        <item m="1" x="89"/>
        <item m="1" x="102"/>
        <item m="1" x="110"/>
        <item m="1" x="119"/>
        <item m="1" x="6"/>
        <item m="1" x="24"/>
        <item m="1" x="38"/>
        <item m="1" x="27"/>
        <item m="1" x="5"/>
        <item m="1" x="99"/>
        <item m="1" x="116"/>
        <item m="1" x="42"/>
        <item m="1" x="77"/>
        <item m="1" x="30"/>
        <item m="1" x="51"/>
        <item m="1" x="36"/>
        <item m="1" x="60"/>
        <item m="1" x="45"/>
        <item m="1" x="67"/>
        <item m="1" x="52"/>
        <item m="1" x="79"/>
        <item m="1" x="61"/>
        <item m="1" x="87"/>
        <item m="1" x="68"/>
        <item m="1" x="96"/>
        <item m="1" x="80"/>
        <item m="1" x="101"/>
        <item m="1" x="88"/>
        <item m="1" x="105"/>
        <item m="1" x="117"/>
        <item m="1" x="107"/>
        <item m="1" x="91"/>
        <item m="1" x="64"/>
        <item m="1" x="43"/>
        <item m="1" x="58"/>
        <item m="1" x="22"/>
        <item m="1" x="28"/>
        <item m="1" x="37"/>
        <item m="1" x="41"/>
        <item m="1" x="73"/>
        <item m="1" x="118"/>
        <item m="1" x="108"/>
        <item m="1" x="92"/>
        <item m="1" x="59"/>
        <item m="1" x="127"/>
        <item m="1" x="75"/>
        <item m="1" x="63"/>
        <item m="1" x="95"/>
        <item m="1" x="76"/>
        <item m="1" x="55"/>
        <item m="1" x="62"/>
        <item m="1" x="16"/>
        <item m="1" x="81"/>
        <item m="1" x="97"/>
        <item m="1" x="106"/>
        <item m="1" x="114"/>
        <item m="1" x="125"/>
        <item m="1" x="13"/>
        <item m="1" x="32"/>
        <item m="1" x="124"/>
        <item m="1" x="14"/>
        <item m="1" x="82"/>
        <item m="1" x="57"/>
        <item m="1" x="72"/>
        <item m="1" x="17"/>
        <item m="1" x="123"/>
        <item m="1" x="104"/>
        <item m="1" x="54"/>
        <item m="1" x="115"/>
        <item m="1" x="74"/>
        <item m="1" x="94"/>
        <item m="1" x="109"/>
        <item m="1" x="46"/>
        <item m="1" x="69"/>
        <item m="1" x="4"/>
        <item x="0"/>
        <item x="1"/>
        <item x="2"/>
        <item x="3"/>
      </items>
    </pivotField>
    <pivotField axis="axisRow" compact="0" outline="0" showAll="0" defaultSubtotal="0">
      <items count="8">
        <item x="2"/>
        <item x="3"/>
        <item x="4"/>
        <item x="1"/>
        <item x="0"/>
        <item m="1" x="7"/>
        <item m="1" x="6"/>
        <item x="5"/>
      </items>
    </pivotField>
    <pivotField axis="axisRow" compact="0" outline="0" showAll="0" defaultSubtotal="0">
      <items count="5">
        <item x="0"/>
        <item x="1"/>
        <item x="2"/>
        <item x="3"/>
        <item m="1" x="4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6">
    <i>
      <x v="3"/>
      <x v="124"/>
      <x v="4"/>
      <x/>
    </i>
    <i r="1">
      <x v="125"/>
      <x v="3"/>
      <x v="1"/>
    </i>
    <i r="1">
      <x v="126"/>
      <x/>
      <x v="2"/>
    </i>
    <i r="2">
      <x v="1"/>
      <x v="2"/>
    </i>
    <i r="2">
      <x v="2"/>
      <x v="2"/>
    </i>
    <i r="1">
      <x v="127"/>
      <x v="7"/>
      <x v="3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16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17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0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2">
        <item m="1" x="13"/>
        <item m="1" x="36"/>
        <item m="1" x="8"/>
        <item m="1" x="88"/>
        <item m="1" x="71"/>
        <item m="1" x="41"/>
        <item m="1" x="97"/>
        <item m="1" x="29"/>
        <item m="1" x="33"/>
        <item m="1" x="100"/>
        <item m="1" x="66"/>
        <item m="1" x="78"/>
        <item m="1" x="83"/>
        <item m="1" x="7"/>
        <item m="1" x="35"/>
        <item m="1" x="25"/>
        <item m="1" x="101"/>
        <item m="1" x="95"/>
        <item m="1" x="23"/>
        <item m="1" x="17"/>
        <item m="1" x="89"/>
        <item m="1" x="9"/>
        <item m="1" x="42"/>
        <item m="1" x="28"/>
        <item m="1" x="53"/>
        <item m="1" x="80"/>
        <item m="1" x="44"/>
        <item m="1" x="14"/>
        <item m="1" x="38"/>
        <item m="1" x="67"/>
        <item m="1" x="57"/>
        <item m="1" x="15"/>
        <item m="1" x="74"/>
        <item m="1" x="6"/>
        <item m="1" x="94"/>
        <item m="1" x="62"/>
        <item m="1" x="82"/>
        <item m="1" x="37"/>
        <item m="1" x="96"/>
        <item m="1" x="65"/>
        <item m="1" x="19"/>
        <item m="1" x="56"/>
        <item m="1" x="70"/>
        <item m="1" x="81"/>
        <item m="1" x="87"/>
        <item m="1" x="5"/>
        <item m="1" x="18"/>
        <item m="1" x="27"/>
        <item m="1" x="20"/>
        <item m="1" x="4"/>
        <item m="1" x="79"/>
        <item m="1" x="91"/>
        <item m="1" x="31"/>
        <item m="1" x="61"/>
        <item m="1" x="22"/>
        <item m="1" x="39"/>
        <item m="1" x="26"/>
        <item m="1" x="47"/>
        <item m="1" x="34"/>
        <item m="1" x="54"/>
        <item m="1" x="40"/>
        <item m="1" x="63"/>
        <item m="1" x="48"/>
        <item m="1" x="68"/>
        <item m="1" x="55"/>
        <item m="1" x="76"/>
        <item m="1" x="69"/>
        <item m="1" x="84"/>
        <item m="1" x="92"/>
        <item m="1" x="72"/>
        <item m="1" x="51"/>
        <item m="1" x="32"/>
        <item m="1" x="45"/>
        <item m="1" x="16"/>
        <item m="1" x="21"/>
        <item m="1" x="30"/>
        <item m="1" x="58"/>
        <item m="1" x="93"/>
        <item m="1" x="86"/>
        <item m="1" x="73"/>
        <item m="1" x="46"/>
        <item m="1" x="59"/>
        <item m="1" x="50"/>
        <item m="1" x="75"/>
        <item m="1" x="60"/>
        <item m="1" x="43"/>
        <item m="1" x="49"/>
        <item m="1" x="12"/>
        <item m="1" x="52"/>
        <item m="1" x="64"/>
        <item m="1" x="77"/>
        <item m="1" x="85"/>
        <item m="1" x="90"/>
        <item m="1" x="99"/>
        <item m="1" x="10"/>
        <item m="1" x="24"/>
        <item m="1" x="98"/>
        <item m="1" x="11"/>
        <item m="1" x="3"/>
        <item x="0"/>
        <item x="1"/>
        <item x="2"/>
      </items>
    </pivotField>
    <pivotField axis="axisRow" compact="0" outline="0" showAll="0" defaultSubtotal="0">
      <items count="13">
        <item m="1" x="12"/>
        <item x="0"/>
        <item x="1"/>
        <item x="2"/>
        <item x="3"/>
        <item x="4"/>
        <item x="5"/>
        <item x="6"/>
        <item m="1" x="9"/>
        <item m="1" x="10"/>
        <item m="1" x="11"/>
        <item m="1" x="8"/>
        <item x="7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8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  <i r="1">
      <x v="101"/>
      <x v="12"/>
      <x v="2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7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8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9" tableType="queryTable" totalsRowShown="0">
  <autoFilter ref="A1:Y9" xr:uid="{C3D003CA-1AFF-426C-A03D-D3AF5760DF1A}"/>
  <sortState xmlns:xlrd2="http://schemas.microsoft.com/office/spreadsheetml/2017/richdata2" ref="A2:Y9">
    <sortCondition ref="D1:D9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70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9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8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7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6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5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4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3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2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1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60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9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8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7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7" tableType="queryTable" totalsRowShown="0">
  <autoFilter ref="A1:U7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6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5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4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3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2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1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50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9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8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6" tableType="queryTable" totalsRowShown="0">
  <autoFilter ref="A1:P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1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0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39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38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7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36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35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4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.4" x14ac:dyDescent="0.3"/>
  <cols>
    <col min="1" max="1" width="15.21875" bestFit="1" customWidth="1"/>
    <col min="2" max="2" width="80.88671875" bestFit="1" customWidth="1"/>
    <col min="3" max="3" width="18.109375" bestFit="1" customWidth="1"/>
    <col min="4" max="4" width="11.6640625" bestFit="1" customWidth="1"/>
    <col min="5" max="5" width="22.44140625" bestFit="1" customWidth="1"/>
    <col min="6" max="6" width="24.21875" bestFit="1" customWidth="1"/>
    <col min="7" max="10" width="19.44140625" bestFit="1" customWidth="1"/>
    <col min="11" max="11" width="19.4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1</v>
      </c>
      <c r="F2">
        <v>253.19112835471299</v>
      </c>
      <c r="G2">
        <f>0.95</f>
        <v>0.95</v>
      </c>
    </row>
  </sheetData>
  <phoneticPr fontId="2" type="noConversion"/>
  <conditionalFormatting sqref="D2">
    <cfRule type="expression" dxfId="33" priority="1">
      <formula>D2=3</formula>
    </cfRule>
    <cfRule type="expression" dxfId="32" priority="2">
      <formula>D2=2</formula>
    </cfRule>
    <cfRule type="expression" dxfId="31" priority="3">
      <formula>D2=1</formula>
    </cfRule>
    <cfRule type="expression" dxfId="30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0"/>
  <sheetViews>
    <sheetView tabSelected="1" topLeftCell="K1" workbookViewId="0">
      <selection activeCell="K14" sqref="K14"/>
    </sheetView>
  </sheetViews>
  <sheetFormatPr defaultRowHeight="14.4" x14ac:dyDescent="0.3"/>
  <cols>
    <col min="1" max="1" width="33.21875" customWidth="1"/>
    <col min="2" max="2" width="28.6640625" bestFit="1" customWidth="1"/>
    <col min="3" max="4" width="12.5546875" bestFit="1" customWidth="1"/>
    <col min="5" max="5" width="28.6640625" bestFit="1" customWidth="1"/>
    <col min="6" max="6" width="19.5546875" bestFit="1" customWidth="1"/>
    <col min="7" max="7" width="10.109375" bestFit="1" customWidth="1"/>
    <col min="8" max="8" width="26.6640625" bestFit="1" customWidth="1"/>
    <col min="9" max="9" width="26.77734375" bestFit="1" customWidth="1"/>
    <col min="10" max="10" width="27.109375" bestFit="1" customWidth="1"/>
    <col min="11" max="11" width="16" bestFit="1" customWidth="1"/>
    <col min="12" max="12" width="16.33203125" bestFit="1" customWidth="1"/>
    <col min="13" max="13" width="29.109375" bestFit="1" customWidth="1"/>
    <col min="14" max="14" width="27.6640625" bestFit="1" customWidth="1"/>
    <col min="15" max="15" width="18.6640625" bestFit="1" customWidth="1"/>
    <col min="16" max="16" width="12" bestFit="1" customWidth="1"/>
    <col min="17" max="18" width="12.5546875" bestFit="1" customWidth="1"/>
    <col min="19" max="19" width="28.6640625" bestFit="1" customWidth="1"/>
    <col min="20" max="20" width="10.109375" bestFit="1" customWidth="1"/>
    <col min="21" max="21" width="26.6640625" bestFit="1" customWidth="1"/>
    <col min="22" max="22" width="21.77734375" bestFit="1" customWidth="1"/>
    <col min="23" max="23" width="22.109375" bestFit="1" customWidth="1"/>
    <col min="24" max="24" width="16" bestFit="1" customWidth="1"/>
    <col min="25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9" bestFit="1" customWidth="1"/>
    <col min="31" max="31" width="24.6640625" bestFit="1" customWidth="1"/>
    <col min="32" max="32" width="10.109375" bestFit="1" customWidth="1"/>
    <col min="33" max="33" width="29.109375" bestFit="1" customWidth="1"/>
    <col min="34" max="34" width="19.5546875" bestFit="1" customWidth="1"/>
    <col min="35" max="36" width="19.8867187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9" bestFit="1" customWidth="1"/>
    <col min="41" max="41" width="24.6640625" bestFit="1" customWidth="1"/>
    <col min="42" max="42" width="10.109375" bestFit="1" customWidth="1"/>
    <col min="43" max="43" width="29.109375" bestFit="1" customWidth="1"/>
    <col min="44" max="44" width="19.5546875" bestFit="1" customWidth="1"/>
    <col min="45" max="46" width="19.88671875" bestFit="1" customWidth="1"/>
    <col min="47" max="47" width="14.88671875" bestFit="1" customWidth="1"/>
    <col min="48" max="48" width="20.6640625" bestFit="1" customWidth="1"/>
    <col min="49" max="49" width="26.33203125" bestFit="1" customWidth="1"/>
    <col min="50" max="50" width="9" bestFit="1" customWidth="1"/>
    <col min="51" max="51" width="26.33203125" bestFit="1" customWidth="1"/>
    <col min="52" max="53" width="27" bestFit="1" customWidth="1"/>
    <col min="54" max="54" width="24.88671875" bestFit="1" customWidth="1"/>
    <col min="55" max="55" width="29.21875" bestFit="1" customWidth="1"/>
    <col min="56" max="56" width="31.88671875" bestFit="1" customWidth="1"/>
    <col min="57" max="57" width="21.77734375" bestFit="1" customWidth="1"/>
  </cols>
  <sheetData>
    <row r="1" spans="1:52" ht="18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2E+20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30</v>
      </c>
      <c r="O3" t="s">
        <v>66</v>
      </c>
      <c r="P3" t="s">
        <v>69</v>
      </c>
      <c r="Q3" t="s">
        <v>83</v>
      </c>
      <c r="R3" t="s">
        <v>71</v>
      </c>
      <c r="S3" s="5">
        <v>0.84239916296061701</v>
      </c>
      <c r="T3" s="5">
        <v>2E+20</v>
      </c>
      <c r="U3" s="5">
        <v>0</v>
      </c>
      <c r="V3" s="5">
        <v>0.84239916296061701</v>
      </c>
      <c r="W3" s="5">
        <v>0.84239916296061701</v>
      </c>
      <c r="X3" s="5">
        <v>0</v>
      </c>
      <c r="Y3" s="5">
        <v>3</v>
      </c>
      <c r="AA3" t="s">
        <v>102</v>
      </c>
      <c r="AB3" t="s">
        <v>102</v>
      </c>
      <c r="AC3" t="s">
        <v>102</v>
      </c>
      <c r="AD3" t="s">
        <v>102</v>
      </c>
      <c r="AE3" s="5"/>
      <c r="AF3" s="5"/>
      <c r="AG3" s="5"/>
      <c r="AH3" s="5"/>
      <c r="AI3" s="5"/>
      <c r="AK3" t="s">
        <v>66</v>
      </c>
      <c r="AL3" t="s">
        <v>100</v>
      </c>
      <c r="AM3" t="s">
        <v>95</v>
      </c>
      <c r="AN3" t="s">
        <v>101</v>
      </c>
      <c r="AO3" s="5">
        <v>30</v>
      </c>
      <c r="AP3" s="5">
        <v>4E+20</v>
      </c>
      <c r="AQ3" s="5">
        <v>0</v>
      </c>
      <c r="AR3" s="5">
        <v>30</v>
      </c>
      <c r="AS3" s="5">
        <v>30</v>
      </c>
      <c r="AU3" t="s">
        <v>102</v>
      </c>
      <c r="AV3" t="s">
        <v>102</v>
      </c>
      <c r="AW3" t="s">
        <v>102</v>
      </c>
      <c r="AX3" t="s">
        <v>102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2E+20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30</v>
      </c>
      <c r="P4" t="s">
        <v>77</v>
      </c>
      <c r="Q4" t="s">
        <v>84</v>
      </c>
      <c r="R4" t="s">
        <v>79</v>
      </c>
      <c r="S4" s="5">
        <v>0.31808168562454903</v>
      </c>
      <c r="T4" s="5">
        <v>2E+20</v>
      </c>
      <c r="U4" s="5">
        <v>0</v>
      </c>
      <c r="V4" s="5">
        <v>0.31808168562454903</v>
      </c>
      <c r="W4" s="5">
        <v>0.31808168562454903</v>
      </c>
      <c r="X4" s="5">
        <v>0</v>
      </c>
      <c r="Y4" s="5">
        <v>2</v>
      </c>
      <c r="AL4" t="s">
        <v>92</v>
      </c>
      <c r="AM4" t="s">
        <v>93</v>
      </c>
      <c r="AN4" t="s">
        <v>71</v>
      </c>
      <c r="AO4" s="5">
        <v>30</v>
      </c>
      <c r="AP4" s="5">
        <v>4E+20</v>
      </c>
      <c r="AQ4" s="5">
        <v>0</v>
      </c>
      <c r="AR4" s="5">
        <v>30</v>
      </c>
      <c r="AS4" s="5">
        <v>30</v>
      </c>
    </row>
    <row r="5" spans="1:52" x14ac:dyDescent="0.3">
      <c r="C5" t="s">
        <v>73</v>
      </c>
      <c r="D5" t="s">
        <v>71</v>
      </c>
      <c r="E5" s="5">
        <v>7.1095998198354904</v>
      </c>
      <c r="F5" s="5">
        <v>1</v>
      </c>
      <c r="G5" s="5">
        <v>2E+20</v>
      </c>
      <c r="H5" s="5">
        <v>0</v>
      </c>
      <c r="I5" s="5">
        <v>7.1095998198354904</v>
      </c>
      <c r="J5" s="5">
        <v>7.1095998198354904</v>
      </c>
      <c r="K5" s="5">
        <v>0.18051406125750899</v>
      </c>
      <c r="L5" s="5">
        <v>19.911286367630399</v>
      </c>
      <c r="M5" s="5">
        <v>30</v>
      </c>
      <c r="P5" t="s">
        <v>85</v>
      </c>
      <c r="Q5" t="s">
        <v>86</v>
      </c>
      <c r="R5" t="s">
        <v>87</v>
      </c>
      <c r="S5" s="5">
        <v>0.52431747733606804</v>
      </c>
      <c r="T5" s="5">
        <v>2E+20</v>
      </c>
      <c r="U5" s="5">
        <v>0</v>
      </c>
      <c r="V5" s="5">
        <v>0.52431747733606804</v>
      </c>
      <c r="W5" s="5">
        <v>0.52431747733606804</v>
      </c>
      <c r="X5" s="5">
        <v>0</v>
      </c>
      <c r="Y5" s="5">
        <v>1</v>
      </c>
      <c r="AL5" t="s">
        <v>94</v>
      </c>
      <c r="AM5" t="s">
        <v>95</v>
      </c>
      <c r="AN5" t="s">
        <v>71</v>
      </c>
      <c r="AO5" s="5">
        <v>30</v>
      </c>
      <c r="AP5" s="5">
        <v>4E+20</v>
      </c>
      <c r="AQ5" s="5">
        <v>0</v>
      </c>
      <c r="AR5" s="5">
        <v>30</v>
      </c>
      <c r="AS5" s="5">
        <v>30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2E+20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30</v>
      </c>
      <c r="Q6" t="s">
        <v>88</v>
      </c>
      <c r="R6" t="s">
        <v>87</v>
      </c>
      <c r="S6" s="5">
        <v>0.52431747733606804</v>
      </c>
      <c r="T6" s="5">
        <v>2E+20</v>
      </c>
      <c r="U6" s="5">
        <v>0</v>
      </c>
      <c r="V6" s="5">
        <v>0.52431747733606804</v>
      </c>
      <c r="W6" s="5">
        <v>0.52431747733606804</v>
      </c>
      <c r="X6" s="5">
        <v>0</v>
      </c>
      <c r="Y6" s="5">
        <v>1</v>
      </c>
      <c r="AL6" t="s">
        <v>96</v>
      </c>
      <c r="AM6" t="s">
        <v>97</v>
      </c>
      <c r="AN6" t="s">
        <v>87</v>
      </c>
      <c r="AO6" s="5">
        <v>30</v>
      </c>
      <c r="AP6" s="5">
        <v>4E+20</v>
      </c>
      <c r="AQ6" s="5">
        <v>0</v>
      </c>
      <c r="AR6" s="5">
        <v>30</v>
      </c>
      <c r="AS6" s="5">
        <v>30</v>
      </c>
    </row>
    <row r="7" spans="1:52" x14ac:dyDescent="0.3">
      <c r="C7" t="s">
        <v>75</v>
      </c>
      <c r="D7" t="s">
        <v>71</v>
      </c>
      <c r="E7" s="5">
        <v>4.4250844567605299</v>
      </c>
      <c r="F7" s="5">
        <v>1</v>
      </c>
      <c r="G7" s="5">
        <v>2E+20</v>
      </c>
      <c r="H7" s="5">
        <v>0</v>
      </c>
      <c r="I7" s="5">
        <v>4.4250844567605299</v>
      </c>
      <c r="J7" s="5">
        <v>4.4250844567605299</v>
      </c>
      <c r="K7" s="5">
        <v>0.18051406125750899</v>
      </c>
      <c r="L7" s="5">
        <v>11.0525553149911</v>
      </c>
      <c r="M7" s="5">
        <v>30</v>
      </c>
      <c r="Q7" t="s">
        <v>89</v>
      </c>
      <c r="R7" t="s">
        <v>87</v>
      </c>
      <c r="S7" s="5">
        <v>1</v>
      </c>
      <c r="T7" s="5">
        <v>2E+20</v>
      </c>
      <c r="U7" s="5">
        <v>0</v>
      </c>
      <c r="V7" s="5">
        <v>1</v>
      </c>
      <c r="W7" s="5">
        <v>1</v>
      </c>
      <c r="X7" s="5">
        <v>1</v>
      </c>
      <c r="Y7" s="5">
        <v>1</v>
      </c>
      <c r="AL7" t="s">
        <v>98</v>
      </c>
      <c r="AM7" t="s">
        <v>99</v>
      </c>
      <c r="AN7" t="s">
        <v>87</v>
      </c>
      <c r="AO7" s="5">
        <v>0.52431747733606804</v>
      </c>
      <c r="AP7" s="5">
        <v>4E+20</v>
      </c>
      <c r="AQ7" s="5">
        <v>0</v>
      </c>
      <c r="AR7" s="5">
        <v>0.52431747733606804</v>
      </c>
      <c r="AS7" s="5">
        <v>0.52431747733606804</v>
      </c>
    </row>
    <row r="8" spans="1:52" x14ac:dyDescent="0.3">
      <c r="C8" t="s">
        <v>76</v>
      </c>
      <c r="D8" t="s">
        <v>71</v>
      </c>
      <c r="E8" s="5">
        <v>2.6845153630749601</v>
      </c>
      <c r="F8" s="5">
        <v>1</v>
      </c>
      <c r="G8" s="5">
        <v>2E+20</v>
      </c>
      <c r="H8" s="5">
        <v>0</v>
      </c>
      <c r="I8" s="5">
        <v>2.6845153630749601</v>
      </c>
      <c r="J8" s="5">
        <v>2.6845153630749601</v>
      </c>
      <c r="K8" s="5">
        <v>0</v>
      </c>
      <c r="L8" s="5">
        <v>13.469434340700101</v>
      </c>
      <c r="M8" s="5">
        <v>30</v>
      </c>
      <c r="P8" t="s">
        <v>90</v>
      </c>
      <c r="Q8" t="s">
        <v>91</v>
      </c>
      <c r="R8" t="s">
        <v>82</v>
      </c>
      <c r="S8" s="5">
        <v>1.40315703938243</v>
      </c>
      <c r="T8" s="5">
        <v>2E+20</v>
      </c>
      <c r="U8" s="5">
        <v>0</v>
      </c>
      <c r="V8" s="5">
        <v>1.40315703938243</v>
      </c>
      <c r="W8" s="5">
        <v>1.40315703938243</v>
      </c>
      <c r="X8" s="5">
        <v>0</v>
      </c>
      <c r="Y8" s="5">
        <v>5</v>
      </c>
    </row>
    <row r="9" spans="1:52" x14ac:dyDescent="0.3">
      <c r="B9" t="s">
        <v>77</v>
      </c>
      <c r="C9" t="s">
        <v>78</v>
      </c>
      <c r="D9" t="s">
        <v>79</v>
      </c>
      <c r="E9" s="5">
        <v>2.6845153630749601</v>
      </c>
      <c r="F9" s="5">
        <v>1</v>
      </c>
      <c r="G9" s="5">
        <v>2E+20</v>
      </c>
      <c r="H9" s="5">
        <v>0</v>
      </c>
      <c r="I9" s="5">
        <v>2.6845153630749601</v>
      </c>
      <c r="J9" s="5">
        <v>2.6845153630749601</v>
      </c>
      <c r="K9" s="5">
        <v>0</v>
      </c>
      <c r="L9" s="5">
        <v>13.469434340700101</v>
      </c>
      <c r="M9" s="5">
        <v>30</v>
      </c>
    </row>
    <row r="10" spans="1:52" x14ac:dyDescent="0.3">
      <c r="B10" t="s">
        <v>80</v>
      </c>
      <c r="C10" t="s">
        <v>81</v>
      </c>
      <c r="D10" t="s">
        <v>82</v>
      </c>
      <c r="E10" s="5">
        <v>7.1095998198354904</v>
      </c>
      <c r="F10" s="5">
        <v>1</v>
      </c>
      <c r="G10" s="5">
        <v>2E+20</v>
      </c>
      <c r="H10" s="5">
        <v>0</v>
      </c>
      <c r="I10" s="5">
        <v>7.1095998198354904</v>
      </c>
      <c r="J10" s="5">
        <v>7.1095998198354904</v>
      </c>
      <c r="K10" s="5">
        <v>0.18051406125750899</v>
      </c>
      <c r="L10" s="5">
        <v>19.911286367630399</v>
      </c>
      <c r="M10" s="5">
        <v>30</v>
      </c>
    </row>
  </sheetData>
  <dataConsolidate/>
  <conditionalFormatting pivot="1" sqref="G3:G10">
    <cfRule type="expression" dxfId="29" priority="10">
      <formula>G3=200000000000000000000</formula>
    </cfRule>
  </conditionalFormatting>
  <conditionalFormatting pivot="1" sqref="T3:T8">
    <cfRule type="expression" dxfId="28" priority="9">
      <formula>T3=200000000000000000000</formula>
    </cfRule>
  </conditionalFormatting>
  <conditionalFormatting pivot="1" sqref="T3:T8">
    <cfRule type="expression" dxfId="27" priority="8">
      <formula>T3=300000000000000000000</formula>
    </cfRule>
  </conditionalFormatting>
  <conditionalFormatting pivot="1" sqref="G3:G10">
    <cfRule type="expression" dxfId="26" priority="7">
      <formula>G3=300000000000000000000</formula>
    </cfRule>
  </conditionalFormatting>
  <conditionalFormatting pivot="1" sqref="F3:F10">
    <cfRule type="expression" dxfId="25" priority="6">
      <formula>F3=0</formula>
    </cfRule>
  </conditionalFormatting>
  <conditionalFormatting pivot="1" sqref="F3:F10">
    <cfRule type="expression" dxfId="24" priority="5">
      <formula>F3=1</formula>
    </cfRule>
  </conditionalFormatting>
  <conditionalFormatting pivot="1" sqref="T3:T8">
    <cfRule type="expression" dxfId="23" priority="4">
      <formula>T3=400000000000000000000</formula>
    </cfRule>
  </conditionalFormatting>
  <conditionalFormatting pivot="1" sqref="AP3:AP7">
    <cfRule type="expression" dxfId="22" priority="3">
      <formula>AP3=400000000000000000000</formula>
    </cfRule>
  </conditionalFormatting>
  <conditionalFormatting pivot="1" sqref="AF3">
    <cfRule type="expression" dxfId="21" priority="2">
      <formula>AF3=400000000000000000000</formula>
    </cfRule>
  </conditionalFormatting>
  <conditionalFormatting pivot="1" sqref="G3:G10">
    <cfRule type="expression" dxfId="20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9"/>
  <sheetViews>
    <sheetView topLeftCell="K1" workbookViewId="0">
      <selection activeCell="K3" sqref="K3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7.88671875" bestFit="1" customWidth="1"/>
    <col min="5" max="5" width="12.21875" bestFit="1" customWidth="1"/>
    <col min="6" max="6" width="12.5546875" bestFit="1" customWidth="1"/>
    <col min="7" max="7" width="12" bestFit="1" customWidth="1"/>
    <col min="8" max="8" width="22.33203125" bestFit="1" customWidth="1"/>
    <col min="9" max="10" width="12" bestFit="1" customWidth="1"/>
    <col min="11" max="11" width="21.33203125" bestFit="1" customWidth="1"/>
    <col min="12" max="12" width="48.77734375" bestFit="1" customWidth="1"/>
    <col min="13" max="13" width="16.21875" bestFit="1" customWidth="1"/>
    <col min="14" max="14" width="19.109375" customWidth="1"/>
    <col min="15" max="15" width="17.109375" bestFit="1" customWidth="1"/>
    <col min="16" max="16" width="19.44140625" bestFit="1" customWidth="1"/>
    <col min="17" max="17" width="11.6640625" bestFit="1" customWidth="1"/>
    <col min="18" max="18" width="18.44140625" bestFit="1" customWidth="1"/>
    <col min="19" max="19" width="18.77734375" customWidth="1"/>
    <col min="20" max="20" width="17.44140625" customWidth="1"/>
    <col min="21" max="21" width="17.77734375" customWidth="1"/>
    <col min="22" max="22" width="28.44140625" bestFit="1" customWidth="1"/>
    <col min="23" max="23" width="20" bestFit="1" customWidth="1"/>
    <col min="24" max="24" width="22.77734375" bestFit="1" customWidth="1"/>
    <col min="25" max="25" width="21.332031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30</v>
      </c>
      <c r="L2" t="str">
        <f>DiscreteStatsTable[[#This Row],[ProjectName]]&amp;DiscreteStatsTable[[#This Row],[Name]]&amp;DiscreteStatsTable[[#This Row],[Type]]&amp;DiscreteStatsTable[[#This Row],[Source]]</f>
        <v>Unnamed ProjectCostumerNVA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30</v>
      </c>
      <c r="W2">
        <f>IF((DiscreteStatsTable[[#This Row],[RepsRequested]]&gt;1),DiscreteStatsTable[[#This Row],[HalfWidth]],DiscreteStatsTable[[#This Row],[BatchMeansHalfWidth]])</f>
        <v>2E+20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30</v>
      </c>
      <c r="L3" t="str">
        <f>DiscreteStatsTable[[#This Row],[ProjectName]]&amp;DiscreteStatsTable[[#This Row],[Name]]&amp;DiscreteStatsTable[[#This Row],[Type]]&amp;DiscreteStatsTable[[#This Row],[Source]]</f>
        <v>Unnamed ProjectCostumerOther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30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7.1095998198354904</v>
      </c>
      <c r="H4">
        <v>2E+20</v>
      </c>
      <c r="I4">
        <v>0.18051406125750899</v>
      </c>
      <c r="J4">
        <v>19.911286367630399</v>
      </c>
      <c r="K4">
        <v>30</v>
      </c>
      <c r="L4" t="str">
        <f>DiscreteStatsTable[[#This Row],[ProjectName]]&amp;DiscreteStatsTable[[#This Row],[Name]]&amp;DiscreteStatsTable[[#This Row],[Type]]&amp;DiscreteStatsTable[[#This Row],[Source]]</f>
        <v>Unnamed ProjectCostumerTotal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7.1095998198354904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7.1095998198354904</v>
      </c>
      <c r="S4" cm="1">
        <f t="array" ref="S4">MAX(IF((DiscreteStatsTable[GroupByKey]=DiscreteStatsTable[[#This Row],[GroupByKey]]),(DiscreteStatsTable[GroupByKey]=DiscreteStatsTable[[#This Row],[GroupByKey]])*DiscreteStatsTable[Average]))</f>
        <v>7.1095998198354904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0.18051406125750899</v>
      </c>
      <c r="U4" cm="1">
        <f t="array" ref="U4">MAX(IF((DiscreteStatsTable[GroupByKey]=DiscreteStatsTable[[#This Row],[GroupByKey]]),(DiscreteStatsTable[GroupByKey]=DiscreteStatsTable[[#This Row],[GroupByKey]])*DiscreteStatsTable[Maximum]))</f>
        <v>19.911286367630399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30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30</v>
      </c>
      <c r="L5" t="str">
        <f>DiscreteStatsTable[[#This Row],[ProjectName]]&amp;DiscreteStatsTable[[#This Row],[Name]]&amp;DiscreteStatsTable[[#This Row],[Type]]&amp;DiscreteStatsTable[[#This Row],[Source]]</f>
        <v>Unnamed ProjectCostumerTransfer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30</v>
      </c>
      <c r="W5">
        <f>IF((DiscreteStatsTable[[#This Row],[RepsRequested]]&gt;1),DiscreteStatsTable[[#This Row],[HalfWidth]],DiscreteStatsTable[[#This Row],[BatchMeansHalfWidth]])</f>
        <v>2E+20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4.4250844567605299</v>
      </c>
      <c r="H6">
        <v>2E+20</v>
      </c>
      <c r="I6">
        <v>0.18051406125750899</v>
      </c>
      <c r="J6">
        <v>11.0525553149911</v>
      </c>
      <c r="K6">
        <v>30</v>
      </c>
      <c r="L6" t="str">
        <f>DiscreteStatsTable[[#This Row],[ProjectName]]&amp;DiscreteStatsTable[[#This Row],[Name]]&amp;DiscreteStatsTable[[#This Row],[Type]]&amp;DiscreteStatsTable[[#This Row],[Source]]</f>
        <v>Unnamed ProjectCostumerVA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4.4250844567605299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4.4250844567605299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4.4250844567605299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0.18051406125750899</v>
      </c>
      <c r="U6" cm="1">
        <f t="array" ref="U6">MAX(IF((DiscreteStatsTable[GroupByKey]=DiscreteStatsTable[[#This Row],[GroupByKey]]),(DiscreteStatsTable[GroupByKey]=DiscreteStatsTable[[#This Row],[GroupByKey]])*DiscreteStatsTable[Maximum]))</f>
        <v>11.0525553149911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30</v>
      </c>
      <c r="W6">
        <f>IF((DiscreteStatsTable[[#This Row],[RepsRequested]]&gt;1),DiscreteStatsTable[[#This Row],[HalfWidth]],DiscreteStatsTable[[#This Row],[BatchMeansHalfWidth]])</f>
        <v>2E+20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2.6845153630749601</v>
      </c>
      <c r="H7">
        <v>2E+20</v>
      </c>
      <c r="I7">
        <v>0</v>
      </c>
      <c r="J7">
        <v>13.469434340700101</v>
      </c>
      <c r="K7">
        <v>30</v>
      </c>
      <c r="L7" t="str">
        <f>DiscreteStatsTable[[#This Row],[ProjectName]]&amp;DiscreteStatsTable[[#This Row],[Name]]&amp;DiscreteStatsTable[[#This Row],[Type]]&amp;DiscreteStatsTable[[#This Row],[Source]]</f>
        <v>Unnamed ProjectCostumerWait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2.6845153630749601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2.6845153630749601</v>
      </c>
      <c r="S7" cm="1">
        <f t="array" ref="S7">MAX(IF((DiscreteStatsTable[GroupByKey]=DiscreteStatsTable[[#This Row],[GroupByKey]]),(DiscreteStatsTable[GroupByKey]=DiscreteStatsTable[[#This Row],[GroupByKey]])*DiscreteStatsTable[Average]))</f>
        <v>2.6845153630749601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13.469434340700101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30</v>
      </c>
      <c r="W7">
        <f>IF((DiscreteStatsTable[[#This Row],[RepsRequested]]&gt;1),DiscreteStatsTable[[#This Row],[HalfWidth]],DiscreteStatsTable[[#This Row],[BatchMeansHalfWidth]])</f>
        <v>2E+20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1</v>
      </c>
      <c r="D8" t="s">
        <v>77</v>
      </c>
      <c r="E8" t="s">
        <v>78</v>
      </c>
      <c r="F8" t="s">
        <v>79</v>
      </c>
      <c r="G8">
        <v>2.6845153630749601</v>
      </c>
      <c r="H8">
        <v>2E+20</v>
      </c>
      <c r="I8">
        <v>0</v>
      </c>
      <c r="J8">
        <v>13.469434340700101</v>
      </c>
      <c r="K8">
        <v>30</v>
      </c>
      <c r="L8" t="str">
        <f>DiscreteStatsTable[[#This Row],[ProjectName]]&amp;DiscreteStatsTable[[#This Row],[Name]]&amp;DiscreteStatsTable[[#This Row],[Type]]&amp;DiscreteStatsTable[[#This Row],[Source]]</f>
        <v>Unnamed ProjectGet Medicine.QueueWaiting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2.6845153630749601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2.6845153630749601</v>
      </c>
      <c r="S8" cm="1">
        <f t="array" ref="S8">MAX(IF((DiscreteStatsTable[GroupByKey]=DiscreteStatsTable[[#This Row],[GroupByKey]]),(DiscreteStatsTable[GroupByKey]=DiscreteStatsTable[[#This Row],[GroupByKey]])*DiscreteStatsTable[Average]))</f>
        <v>2.6845153630749601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13.469434340700101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30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1</v>
      </c>
      <c r="D9" t="s">
        <v>80</v>
      </c>
      <c r="E9" t="s">
        <v>81</v>
      </c>
      <c r="F9" t="s">
        <v>82</v>
      </c>
      <c r="G9">
        <v>7.1095998198354904</v>
      </c>
      <c r="H9">
        <v>2E+20</v>
      </c>
      <c r="I9">
        <v>0.18051406125750899</v>
      </c>
      <c r="J9">
        <v>19.911286367630399</v>
      </c>
      <c r="K9">
        <v>30</v>
      </c>
      <c r="L9" t="str">
        <f>DiscreteStatsTable[[#This Row],[ProjectName]]&amp;DiscreteStatsTable[[#This Row],[Name]]&amp;DiscreteStatsTable[[#This Row],[Type]]&amp;DiscreteStatsTable[[#This Row],[Source]]</f>
        <v>Unnamed ProjectSystem TimeExpressionUser Specified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7.1095998198354904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7.1095998198354904</v>
      </c>
      <c r="S9" cm="1">
        <f t="array" ref="S9">MAX(IF((DiscreteStatsTable[GroupByKey]=DiscreteStatsTable[[#This Row],[GroupByKey]]),(DiscreteStatsTable[GroupByKey]=DiscreteStatsTable[[#This Row],[GroupByKey]])*DiscreteStatsTable[Average]))</f>
        <v>7.1095998198354904</v>
      </c>
      <c r="T9" cm="1">
        <f t="array" ref="T9">MIN(IF((DiscreteStatsTable[GroupByKey]=DiscreteStatsTable[[#This Row],[GroupByKey]]),(DiscreteStatsTable[GroupByKey]=DiscreteStatsTable[[#This Row],[GroupByKey]])*DiscreteStatsTable[Minimum]))</f>
        <v>0.18051406125750899</v>
      </c>
      <c r="U9" cm="1">
        <f t="array" ref="U9">MAX(IF((DiscreteStatsTable[GroupByKey]=DiscreteStatsTable[[#This Row],[GroupByKey]]),(DiscreteStatsTable[GroupByKey]=DiscreteStatsTable[[#This Row],[GroupByKey]])*DiscreteStatsTable[Maximum]))</f>
        <v>19.911286367630399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30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</sheetData>
  <phoneticPr fontId="2" type="noConversion"/>
  <conditionalFormatting sqref="H2:H9 Q2:Q9">
    <cfRule type="expression" dxfId="19" priority="23">
      <formula>H2=200000000000000000000</formula>
    </cfRule>
  </conditionalFormatting>
  <conditionalFormatting sqref="H2:H9">
    <cfRule type="expression" dxfId="18" priority="21">
      <formula>H2=300000000000000000000</formula>
    </cfRule>
  </conditionalFormatting>
  <conditionalFormatting sqref="L2:Y9">
    <cfRule type="expression" dxfId="17" priority="19">
      <formula>MOD(ROW(),2)=0</formula>
    </cfRule>
  </conditionalFormatting>
  <conditionalFormatting sqref="Y2:Y9">
    <cfRule type="expression" dxfId="16" priority="14">
      <formula>Y2=0</formula>
    </cfRule>
    <cfRule type="expression" dxfId="15" priority="16">
      <formula>Y2=1</formula>
    </cfRule>
  </conditionalFormatting>
  <conditionalFormatting sqref="Y3:Y9">
    <cfRule type="expression" dxfId="14" priority="15">
      <formula>Y3=1</formula>
    </cfRule>
  </conditionalFormatting>
  <conditionalFormatting sqref="W2:W9">
    <cfRule type="expression" dxfId="13" priority="6">
      <formula>W2=300000000000000000000</formula>
    </cfRule>
    <cfRule type="expression" dxfId="12" priority="7">
      <formula>W2=200000000000000000000</formula>
    </cfRule>
  </conditionalFormatting>
  <conditionalFormatting sqref="Q2:Q9 W2:W9">
    <cfRule type="expression" dxfId="11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7"/>
  <sheetViews>
    <sheetView workbookViewId="0">
      <selection activeCell="A6" sqref="A6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17.88671875" bestFit="1" customWidth="1"/>
    <col min="5" max="5" width="21.6640625" bestFit="1" customWidth="1"/>
    <col min="6" max="6" width="12.5546875" bestFit="1" customWidth="1"/>
    <col min="7" max="7" width="12" bestFit="1" customWidth="1"/>
    <col min="8" max="8" width="22.33203125" bestFit="1" customWidth="1"/>
    <col min="9" max="9" width="11.44140625" bestFit="1" customWidth="1"/>
    <col min="10" max="10" width="11.77734375" bestFit="1" customWidth="1"/>
    <col min="11" max="11" width="19.5546875" bestFit="1" customWidth="1"/>
    <col min="12" max="12" width="11.33203125" bestFit="1" customWidth="1"/>
    <col min="13" max="13" width="53.109375" bestFit="1" customWidth="1"/>
    <col min="14" max="14" width="16.21875" bestFit="1" customWidth="1"/>
    <col min="15" max="15" width="19.109375" bestFit="1" customWidth="1"/>
    <col min="16" max="16" width="17.109375" bestFit="1" customWidth="1"/>
    <col min="17" max="17" width="19.44140625" bestFit="1" customWidth="1"/>
    <col min="18" max="18" width="11.6640625" bestFit="1" customWidth="1"/>
    <col min="19" max="19" width="18.44140625" bestFit="1" customWidth="1"/>
    <col min="20" max="20" width="18.77734375" bestFit="1" customWidth="1"/>
    <col min="21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83</v>
      </c>
      <c r="F2" t="s">
        <v>71</v>
      </c>
      <c r="G2">
        <v>0.84239916296061701</v>
      </c>
      <c r="H2">
        <v>2E+20</v>
      </c>
      <c r="I2">
        <v>0</v>
      </c>
      <c r="J2">
        <v>3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ProjectCostumerWIPEntity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0.84239916296061701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0.84239916296061701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0.84239916296061701</v>
      </c>
      <c r="U2">
        <f>IF((ContinuousStatsTable[[#This Row],[RepsRequested]]&gt;1),ContinuousStatsTable[[#This Row],[HalfWidth]],ContinuousStatsTable[[#This Row],[BatchMeansHalfWidth]])</f>
        <v>2E+20</v>
      </c>
    </row>
    <row r="3" spans="1:21" x14ac:dyDescent="0.3">
      <c r="A3" t="s">
        <v>66</v>
      </c>
      <c r="B3" t="s">
        <v>68</v>
      </c>
      <c r="C3">
        <v>1</v>
      </c>
      <c r="D3" t="s">
        <v>77</v>
      </c>
      <c r="E3" t="s">
        <v>84</v>
      </c>
      <c r="F3" t="s">
        <v>79</v>
      </c>
      <c r="G3">
        <v>0.31808168562454903</v>
      </c>
      <c r="H3">
        <v>2E+20</v>
      </c>
      <c r="I3">
        <v>0</v>
      </c>
      <c r="J3">
        <v>2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ProjectGet Medicine.QueueNumber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0.31808168562454903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0.31808168562454903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0.31808168562454903</v>
      </c>
      <c r="U3">
        <f>IF((ContinuousStatsTable[[#This Row],[RepsRequested]]&gt;1),ContinuousStatsTable[[#This Row],[HalfWidth]],ContinuousStatsTable[[#This Row],[BatchMeansHalfWidth]])</f>
        <v>2E+20</v>
      </c>
    </row>
    <row r="4" spans="1:21" x14ac:dyDescent="0.3">
      <c r="A4" t="s">
        <v>66</v>
      </c>
      <c r="B4" t="s">
        <v>68</v>
      </c>
      <c r="C4">
        <v>1</v>
      </c>
      <c r="D4" t="s">
        <v>85</v>
      </c>
      <c r="E4" t="s">
        <v>86</v>
      </c>
      <c r="F4" t="s">
        <v>87</v>
      </c>
      <c r="G4">
        <v>0.52431747733606804</v>
      </c>
      <c r="H4">
        <v>2E+20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ProjectPharmacistInstantaneous UtilizationResource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0.52431747733606804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0.52431747733606804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0.52431747733606804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">
      <c r="A5" t="s">
        <v>66</v>
      </c>
      <c r="B5" t="s">
        <v>68</v>
      </c>
      <c r="C5">
        <v>1</v>
      </c>
      <c r="D5" t="s">
        <v>85</v>
      </c>
      <c r="E5" t="s">
        <v>88</v>
      </c>
      <c r="F5" t="s">
        <v>87</v>
      </c>
      <c r="G5">
        <v>0.52431747733606804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ProjectPharmacistNumber BusyResource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0.52431747733606804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0.52431747733606804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0.52431747733606804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">
      <c r="A6" t="s">
        <v>66</v>
      </c>
      <c r="B6" t="s">
        <v>68</v>
      </c>
      <c r="C6">
        <v>1</v>
      </c>
      <c r="D6" t="s">
        <v>85</v>
      </c>
      <c r="E6" t="s">
        <v>89</v>
      </c>
      <c r="F6" t="s">
        <v>87</v>
      </c>
      <c r="G6">
        <v>1</v>
      </c>
      <c r="H6">
        <v>2E+20</v>
      </c>
      <c r="I6">
        <v>1</v>
      </c>
      <c r="J6">
        <v>1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ProjectPharmacistNumber ScheduledResource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1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1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1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">
      <c r="A7" t="s">
        <v>66</v>
      </c>
      <c r="B7" t="s">
        <v>68</v>
      </c>
      <c r="C7">
        <v>1</v>
      </c>
      <c r="D7" t="s">
        <v>90</v>
      </c>
      <c r="E7" t="s">
        <v>91</v>
      </c>
      <c r="F7" t="s">
        <v>82</v>
      </c>
      <c r="G7">
        <v>1.40315703938243</v>
      </c>
      <c r="H7">
        <v>2E+20</v>
      </c>
      <c r="I7">
        <v>0</v>
      </c>
      <c r="J7">
        <v>5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ProjectvNumPrescriptionsVariableUser Specified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1.40315703938243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1.40315703938243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1.40315703938243</v>
      </c>
      <c r="U7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7">
    <cfRule type="expression" dxfId="10" priority="9">
      <formula>H2=200000000000000000000</formula>
    </cfRule>
  </conditionalFormatting>
  <conditionalFormatting sqref="H2:H7">
    <cfRule type="expression" dxfId="9" priority="7">
      <formula>H2=300000000000000000000</formula>
    </cfRule>
  </conditionalFormatting>
  <conditionalFormatting sqref="M2:U7">
    <cfRule type="expression" dxfId="8" priority="5">
      <formula>MOD(ROW(),2)=0</formula>
    </cfRule>
  </conditionalFormatting>
  <conditionalFormatting sqref="U2:U7">
    <cfRule type="expression" dxfId="7" priority="3">
      <formula>U2=200000000000000000000</formula>
    </cfRule>
    <cfRule type="expression" dxfId="6" priority="4">
      <formula>U2=300000000000000000000</formula>
    </cfRule>
  </conditionalFormatting>
  <conditionalFormatting sqref="R2:R7 U2:U7">
    <cfRule type="expression" dxfId="5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topLeftCell="G1" workbookViewId="0">
      <selection activeCell="P2" sqref="P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7.33203125" bestFit="1" customWidth="1"/>
    <col min="6" max="6" width="9" bestFit="1" customWidth="1"/>
    <col min="7" max="7" width="16.109375" bestFit="1" customWidth="1"/>
    <col min="8" max="8" width="13.6640625" bestFit="1" customWidth="1"/>
    <col min="9" max="9" width="16.21875" bestFit="1" customWidth="1"/>
    <col min="10" max="10" width="10.109375" bestFit="1" customWidth="1"/>
    <col min="11" max="11" width="19" bestFit="1" customWidth="1"/>
    <col min="12" max="12" width="19.44140625" bestFit="1" customWidth="1"/>
    <col min="13" max="13" width="11.6640625" bestFit="1" customWidth="1"/>
    <col min="14" max="14" width="11.44140625" bestFit="1" customWidth="1"/>
    <col min="15" max="15" width="11.7773437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4" priority="2">
      <formula>MOD(ROW(),2)=0</formula>
    </cfRule>
  </conditionalFormatting>
  <conditionalFormatting sqref="M2">
    <cfRule type="expression" dxfId="3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6"/>
  <sheetViews>
    <sheetView workbookViewId="0">
      <selection activeCell="A5" sqref="A5"/>
    </sheetView>
  </sheetViews>
  <sheetFormatPr defaultRowHeight="14.4" x14ac:dyDescent="0.3"/>
  <cols>
    <col min="1" max="1" width="15.21875" bestFit="1" customWidth="1"/>
    <col min="2" max="2" width="21.21875" bestFit="1" customWidth="1"/>
    <col min="3" max="3" width="12.5546875" bestFit="1" customWidth="1"/>
    <col min="4" max="4" width="27.5546875" bestFit="1" customWidth="1"/>
    <col min="5" max="5" width="18.21875" bestFit="1" customWidth="1"/>
    <col min="6" max="6" width="9" bestFit="1" customWidth="1"/>
    <col min="7" max="7" width="16.109375" bestFit="1" customWidth="1"/>
    <col min="8" max="8" width="11.33203125" bestFit="1" customWidth="1"/>
    <col min="9" max="9" width="67.33203125" bestFit="1" customWidth="1"/>
    <col min="10" max="10" width="16.21875" bestFit="1" customWidth="1"/>
    <col min="11" max="11" width="12" customWidth="1"/>
    <col min="12" max="12" width="19" bestFit="1" customWidth="1"/>
    <col min="13" max="13" width="19.44140625" bestFit="1" customWidth="1"/>
    <col min="14" max="14" width="11.6640625" bestFit="1" customWidth="1"/>
    <col min="15" max="16" width="12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92</v>
      </c>
      <c r="E2" t="s">
        <v>93</v>
      </c>
      <c r="F2" t="s">
        <v>71</v>
      </c>
      <c r="G2">
        <v>30</v>
      </c>
      <c r="H2">
        <v>0</v>
      </c>
      <c r="I2" t="str">
        <f>OutputTable[[#This Row],[ProjectName]]&amp;OutputTable[[#This Row],[Name]]&amp;OutputTable[[#This Row],[Type]]&amp;OutputTable[[#This Row],[Source]]</f>
        <v>Unnamed ProjectCostumer.NumberInNumber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30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30</v>
      </c>
      <c r="P2" cm="1">
        <f t="array" ref="P2">MAX(IF((OutputTable[GroupByKey]=OutputTable[[#This Row],[GroupByKey]]),(OutputTable[GroupByKey]=OutputTable[[#This Row],[GroupByKey]])*OutputTable[RecordedValue]))</f>
        <v>30</v>
      </c>
    </row>
    <row r="3" spans="1:16" x14ac:dyDescent="0.3">
      <c r="A3" t="s">
        <v>66</v>
      </c>
      <c r="B3" t="s">
        <v>68</v>
      </c>
      <c r="C3">
        <v>1</v>
      </c>
      <c r="D3" t="s">
        <v>94</v>
      </c>
      <c r="E3" t="s">
        <v>95</v>
      </c>
      <c r="F3" t="s">
        <v>71</v>
      </c>
      <c r="G3">
        <v>30</v>
      </c>
      <c r="H3">
        <v>0</v>
      </c>
      <c r="I3" t="str">
        <f>OutputTable[[#This Row],[ProjectName]]&amp;OutputTable[[#This Row],[Name]]&amp;OutputTable[[#This Row],[Type]]&amp;OutputTable[[#This Row],[Source]]</f>
        <v>Unnamed ProjectCostumer.NumberOutNumber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30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30</v>
      </c>
      <c r="P3" cm="1">
        <f t="array" ref="P3">MAX(IF((OutputTable[GroupByKey]=OutputTable[[#This Row],[GroupByKey]]),(OutputTable[GroupByKey]=OutputTable[[#This Row],[GroupByKey]])*OutputTable[RecordedValue]))</f>
        <v>30</v>
      </c>
    </row>
    <row r="4" spans="1:16" x14ac:dyDescent="0.3">
      <c r="A4" t="s">
        <v>66</v>
      </c>
      <c r="B4" t="s">
        <v>68</v>
      </c>
      <c r="C4">
        <v>1</v>
      </c>
      <c r="D4" t="s">
        <v>96</v>
      </c>
      <c r="E4" t="s">
        <v>97</v>
      </c>
      <c r="F4" t="s">
        <v>87</v>
      </c>
      <c r="G4">
        <v>30</v>
      </c>
      <c r="H4">
        <v>0</v>
      </c>
      <c r="I4" t="str">
        <f>OutputTable[[#This Row],[ProjectName]]&amp;OutputTable[[#This Row],[Name]]&amp;OutputTable[[#This Row],[Type]]&amp;OutputTable[[#This Row],[Source]]</f>
        <v>Unnamed ProjectPharmacist.NumberSeizedTotal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30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30</v>
      </c>
      <c r="P4" cm="1">
        <f t="array" ref="P4">MAX(IF((OutputTable[GroupByKey]=OutputTable[[#This Row],[GroupByKey]]),(OutputTable[GroupByKey]=OutputTable[[#This Row],[GroupByKey]])*OutputTable[RecordedValue]))</f>
        <v>30</v>
      </c>
    </row>
    <row r="5" spans="1:16" x14ac:dyDescent="0.3">
      <c r="A5" t="s">
        <v>66</v>
      </c>
      <c r="B5" t="s">
        <v>68</v>
      </c>
      <c r="C5">
        <v>1</v>
      </c>
      <c r="D5" t="s">
        <v>98</v>
      </c>
      <c r="E5" t="s">
        <v>99</v>
      </c>
      <c r="F5" t="s">
        <v>87</v>
      </c>
      <c r="G5">
        <v>0.52431747733606804</v>
      </c>
      <c r="H5">
        <v>0</v>
      </c>
      <c r="I5" t="str">
        <f>OutputTable[[#This Row],[ProjectName]]&amp;OutputTable[[#This Row],[Name]]&amp;OutputTable[[#This Row],[Type]]&amp;OutputTable[[#This Row],[Source]]</f>
        <v>Unnamed ProjectPharmacist.ScheduledUtilizationScheduled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0.52431747733606804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0.52431747733606804</v>
      </c>
      <c r="P5" cm="1">
        <f t="array" ref="P5">MAX(IF((OutputTable[GroupByKey]=OutputTable[[#This Row],[GroupByKey]]),(OutputTable[GroupByKey]=OutputTable[[#This Row],[GroupByKey]])*OutputTable[RecordedValue]))</f>
        <v>0.52431747733606804</v>
      </c>
    </row>
    <row r="6" spans="1:16" x14ac:dyDescent="0.3">
      <c r="A6" t="s">
        <v>66</v>
      </c>
      <c r="B6" t="s">
        <v>68</v>
      </c>
      <c r="C6">
        <v>1</v>
      </c>
      <c r="D6" t="s">
        <v>100</v>
      </c>
      <c r="E6" t="s">
        <v>95</v>
      </c>
      <c r="F6" t="s">
        <v>101</v>
      </c>
      <c r="G6">
        <v>30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30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30</v>
      </c>
      <c r="P6" cm="1">
        <f t="array" ref="P6">MAX(IF((OutputTable[GroupByKey]=OutputTable[[#This Row],[GroupByKey]]),(OutputTable[GroupByKey]=OutputTable[[#This Row],[GroupByKey]])*OutputTable[RecordedValue]))</f>
        <v>30</v>
      </c>
    </row>
  </sheetData>
  <phoneticPr fontId="2" type="noConversion"/>
  <conditionalFormatting sqref="I2:P6">
    <cfRule type="expression" dxfId="2" priority="2">
      <formula>MOD(ROW(),2)=0</formula>
    </cfRule>
  </conditionalFormatting>
  <conditionalFormatting sqref="N2:N6">
    <cfRule type="expression" dxfId="1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31"/>
  <sheetViews>
    <sheetView workbookViewId="0">
      <selection activeCell="A2" sqref="A2"/>
    </sheetView>
  </sheetViews>
  <sheetFormatPr defaultRowHeight="14.4" x14ac:dyDescent="0.3"/>
  <cols>
    <col min="1" max="1" width="14.21875" bestFit="1" customWidth="1"/>
    <col min="2" max="2" width="21.21875" bestFit="1" customWidth="1"/>
    <col min="3" max="3" width="12.5546875" bestFit="1" customWidth="1"/>
    <col min="4" max="4" width="8.21875" bestFit="1" customWidth="1"/>
    <col min="5" max="5" width="10.77734375" bestFit="1" customWidth="1"/>
    <col min="6" max="6" width="9" bestFit="1" customWidth="1"/>
    <col min="7" max="7" width="20.5546875" bestFit="1" customWidth="1"/>
    <col min="8" max="8" width="21.21875" bestFit="1" customWidth="1"/>
    <col min="9" max="9" width="23.77734375" bestFit="1" customWidth="1"/>
    <col min="10" max="10" width="25" bestFit="1" customWidth="1"/>
    <col min="11" max="11" width="13.6640625" bestFit="1" customWidth="1"/>
    <col min="12" max="12" width="28.88671875" bestFit="1" customWidth="1"/>
    <col min="13" max="13" width="29.5546875" bestFit="1" customWidth="1"/>
    <col min="14" max="14" width="16.21875" bestFit="1" customWidth="1"/>
    <col min="15" max="15" width="27.6640625" bestFit="1" customWidth="1"/>
    <col min="16" max="16" width="28.33203125" bestFit="1" customWidth="1"/>
    <col min="17" max="17" width="29.21875" bestFit="1" customWidth="1"/>
    <col min="18" max="18" width="28.33203125" bestFit="1" customWidth="1"/>
    <col min="19" max="19" width="26.21875" bestFit="1" customWidth="1"/>
    <col min="20" max="20" width="29.88671875" bestFit="1" customWidth="1"/>
    <col min="21" max="21" width="31.88671875" bestFit="1" customWidth="1"/>
    <col min="22" max="22" width="32.10937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</sheetData>
  <phoneticPr fontId="2" type="noConversion"/>
  <conditionalFormatting sqref="K1:P2 K17:P17 Q45:V45 K31:V31">
    <cfRule type="expression" dxfId="0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Luiz Mário Andrade</cp:lastModifiedBy>
  <cp:lastPrinted>2022-03-22T10:33:10Z</cp:lastPrinted>
  <dcterms:created xsi:type="dcterms:W3CDTF">2020-06-29T21:30:31Z</dcterms:created>
  <dcterms:modified xsi:type="dcterms:W3CDTF">2023-01-26T23:26:17Z</dcterms:modified>
</cp:coreProperties>
</file>