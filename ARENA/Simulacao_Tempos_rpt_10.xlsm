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ca2dfc1885a742a/Documents/2021-2/Pesquisa Operacional para Engenharia/Arena/"/>
    </mc:Choice>
  </mc:AlternateContent>
  <xr:revisionPtr revIDLastSave="0" documentId="8_{99DDCA37-4C36-4E7C-A07B-0DAEC0917922}" xr6:coauthVersionLast="47" xr6:coauthVersionMax="47" xr10:uidLastSave="{00000000-0000-0000-0000-000000000000}"/>
  <bookViews>
    <workbookView xWindow="-108" yWindow="-108" windowWidth="23256" windowHeight="12456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ContinuousTimeStatsByRep!$A$1:$L$161</definedName>
    <definedName name="ExternalData_1" localSheetId="4" hidden="1">CounterStatsByRep!$A$1:$G$2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/>
  <c r="J24" i="20" a="1"/>
  <c r="J24" i="20" s="1"/>
  <c r="J25" i="20" a="1"/>
  <c r="J25" i="20" s="1"/>
  <c r="J26" i="20" a="1"/>
  <c r="J26" i="20" s="1"/>
  <c r="J27" i="20" a="1"/>
  <c r="J27" i="20"/>
  <c r="J28" i="20" a="1"/>
  <c r="J28" i="20" s="1"/>
  <c r="J29" i="20" a="1"/>
  <c r="J29" i="20" s="1"/>
  <c r="J30" i="20" a="1"/>
  <c r="J30" i="20" s="1"/>
  <c r="J31" i="20" a="1"/>
  <c r="J31" i="20" s="1"/>
  <c r="N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N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N94" i="20" s="1"/>
  <c r="J95" i="20" a="1"/>
  <c r="J95" i="20" s="1"/>
  <c r="J96" i="20" a="1"/>
  <c r="J96" i="20" s="1"/>
  <c r="J97" i="20" a="1"/>
  <c r="J97" i="20" s="1"/>
  <c r="J98" i="20" a="1"/>
  <c r="J98" i="20" s="1"/>
  <c r="N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N105" i="20" s="1"/>
  <c r="J106" i="20" a="1"/>
  <c r="J106" i="20"/>
  <c r="J107" i="20" a="1"/>
  <c r="J107" i="20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N114" i="20" s="1"/>
  <c r="J115" i="20" a="1"/>
  <c r="J115" i="20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N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N137" i="20" s="1"/>
  <c r="J138" i="20" a="1"/>
  <c r="J138" i="20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N146" i="20" s="1"/>
  <c r="J147" i="20" a="1"/>
  <c r="J147" i="20"/>
  <c r="J148" i="20" a="1"/>
  <c r="J148" i="20" s="1"/>
  <c r="J149" i="20" a="1"/>
  <c r="J149" i="20" s="1"/>
  <c r="J150" i="20" a="1"/>
  <c r="J150" i="20" s="1"/>
  <c r="J151" i="20" a="1"/>
  <c r="J151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/>
  <c r="K93" i="20" a="1"/>
  <c r="K93" i="20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/>
  <c r="K102" i="20" a="1"/>
  <c r="K102" i="20" s="1"/>
  <c r="K103" i="20" a="1"/>
  <c r="K103" i="20" s="1"/>
  <c r="K104" i="20" a="1"/>
  <c r="K104" i="20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/>
  <c r="K146" i="20" a="1"/>
  <c r="K146" i="20" s="1"/>
  <c r="K147" i="20" a="1"/>
  <c r="K147" i="20"/>
  <c r="K148" i="20" a="1"/>
  <c r="K148" i="20" s="1"/>
  <c r="K149" i="20" a="1"/>
  <c r="K149" i="20" s="1"/>
  <c r="K150" i="20" a="1"/>
  <c r="K150" i="20" s="1"/>
  <c r="K151" i="20" a="1"/>
  <c r="K15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N6" i="20" s="1"/>
  <c r="L7" i="20" a="1"/>
  <c r="L7" i="20" s="1"/>
  <c r="L8" i="20" a="1"/>
  <c r="L8" i="20" s="1"/>
  <c r="L9" i="20" a="1"/>
  <c r="L9" i="20" s="1"/>
  <c r="L10" i="20" a="1"/>
  <c r="L10" i="20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/>
  <c r="L39" i="20" a="1"/>
  <c r="L39" i="20" s="1"/>
  <c r="L40" i="20" a="1"/>
  <c r="L40" i="20" s="1"/>
  <c r="L41" i="20" a="1"/>
  <c r="L41" i="20"/>
  <c r="L42" i="20" a="1"/>
  <c r="L42" i="20" s="1"/>
  <c r="L43" i="20" a="1"/>
  <c r="L43" i="20" s="1"/>
  <c r="L44" i="20" a="1"/>
  <c r="L44" i="20" s="1"/>
  <c r="L45" i="20" a="1"/>
  <c r="L45" i="20" s="1"/>
  <c r="N45" i="20" s="1"/>
  <c r="L46" i="20" a="1"/>
  <c r="L46" i="20" s="1"/>
  <c r="L47" i="20" a="1"/>
  <c r="L47" i="20"/>
  <c r="L48" i="20" a="1"/>
  <c r="L48" i="20" s="1"/>
  <c r="L49" i="20" a="1"/>
  <c r="L49" i="20"/>
  <c r="L50" i="20" a="1"/>
  <c r="L50" i="20" s="1"/>
  <c r="L51" i="20" a="1"/>
  <c r="L51" i="20" s="1"/>
  <c r="L52" i="20" a="1"/>
  <c r="L52" i="20" s="1"/>
  <c r="L53" i="20" a="1"/>
  <c r="L53" i="20" s="1"/>
  <c r="N53" i="20" s="1"/>
  <c r="L54" i="20" a="1"/>
  <c r="L54" i="20" s="1"/>
  <c r="L55" i="20" a="1"/>
  <c r="L55" i="20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N63" i="20" s="1"/>
  <c r="L64" i="20" a="1"/>
  <c r="L64" i="20" s="1"/>
  <c r="L65" i="20" a="1"/>
  <c r="L65" i="20"/>
  <c r="L66" i="20" a="1"/>
  <c r="L66" i="20" s="1"/>
  <c r="L67" i="20" a="1"/>
  <c r="L67" i="20"/>
  <c r="L68" i="20" a="1"/>
  <c r="L68" i="20" s="1"/>
  <c r="L69" i="20" a="1"/>
  <c r="L69" i="20" s="1"/>
  <c r="N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/>
  <c r="L80" i="20" a="1"/>
  <c r="L80" i="20" s="1"/>
  <c r="L81" i="20" a="1"/>
  <c r="L81" i="20" s="1"/>
  <c r="L82" i="20" a="1"/>
  <c r="L82" i="20" s="1"/>
  <c r="L83" i="20" a="1"/>
  <c r="L83" i="20"/>
  <c r="L84" i="20" a="1"/>
  <c r="L84" i="20" s="1"/>
  <c r="L85" i="20" a="1"/>
  <c r="L85" i="20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/>
  <c r="L96" i="20" a="1"/>
  <c r="L96" i="20" s="1"/>
  <c r="L97" i="20" a="1"/>
  <c r="L97" i="20"/>
  <c r="L98" i="20" a="1"/>
  <c r="L98" i="20" s="1"/>
  <c r="L99" i="20" a="1"/>
  <c r="L99" i="20" s="1"/>
  <c r="L100" i="20" a="1"/>
  <c r="L100" i="20" s="1"/>
  <c r="L101" i="20" a="1"/>
  <c r="L101" i="20"/>
  <c r="L102" i="20" a="1"/>
  <c r="L102" i="20" s="1"/>
  <c r="L103" i="20" a="1"/>
  <c r="L103" i="20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/>
  <c r="L112" i="20" a="1"/>
  <c r="L112" i="20" s="1"/>
  <c r="L113" i="20" a="1"/>
  <c r="L113" i="20" s="1"/>
  <c r="L114" i="20" a="1"/>
  <c r="L114" i="20" s="1"/>
  <c r="L115" i="20" a="1"/>
  <c r="L115" i="20"/>
  <c r="L116" i="20" a="1"/>
  <c r="L116" i="20" s="1"/>
  <c r="L117" i="20" a="1"/>
  <c r="L117" i="20" s="1"/>
  <c r="L118" i="20" a="1"/>
  <c r="L118" i="20" s="1"/>
  <c r="L119" i="20" a="1"/>
  <c r="L119" i="20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/>
  <c r="L130" i="20" a="1"/>
  <c r="L130" i="20" s="1"/>
  <c r="L131" i="20" a="1"/>
  <c r="L131" i="20" s="1"/>
  <c r="L132" i="20" a="1"/>
  <c r="L132" i="20" s="1"/>
  <c r="L133" i="20" a="1"/>
  <c r="L133" i="20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/>
  <c r="L144" i="20" a="1"/>
  <c r="L144" i="20" s="1"/>
  <c r="L145" i="20" a="1"/>
  <c r="L145" i="20" s="1"/>
  <c r="L146" i="20" a="1"/>
  <c r="L146" i="20" s="1"/>
  <c r="L147" i="20" a="1"/>
  <c r="L147" i="20"/>
  <c r="L148" i="20" a="1"/>
  <c r="L148" i="20" s="1"/>
  <c r="L149" i="20" a="1"/>
  <c r="L149" i="20" s="1"/>
  <c r="L150" i="20" a="1"/>
  <c r="L150" i="20" s="1"/>
  <c r="L151" i="20" a="1"/>
  <c r="L151" i="20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N8" i="20" s="1"/>
  <c r="M9" i="20" a="1"/>
  <c r="M9" i="20"/>
  <c r="M10" i="20" a="1"/>
  <c r="M10" i="20" s="1"/>
  <c r="M11" i="20" a="1"/>
  <c r="M11" i="20" s="1"/>
  <c r="M12" i="20" a="1"/>
  <c r="M12" i="20" s="1"/>
  <c r="M13" i="20" a="1"/>
  <c r="M13" i="20"/>
  <c r="M14" i="20" a="1"/>
  <c r="M14" i="20" s="1"/>
  <c r="M15" i="20" a="1"/>
  <c r="M15" i="20" s="1"/>
  <c r="M16" i="20" a="1"/>
  <c r="M16" i="20" s="1"/>
  <c r="N16" i="20" s="1"/>
  <c r="M17" i="20" a="1"/>
  <c r="M17" i="20" s="1"/>
  <c r="N17" i="20" s="1"/>
  <c r="M18" i="20" a="1"/>
  <c r="M18" i="20" s="1"/>
  <c r="M19" i="20" a="1"/>
  <c r="M19" i="20" s="1"/>
  <c r="M20" i="20" a="1"/>
  <c r="M20" i="20" s="1"/>
  <c r="M21" i="20" a="1"/>
  <c r="M21" i="20" s="1"/>
  <c r="N21" i="20" s="1"/>
  <c r="M22" i="20" a="1"/>
  <c r="M22" i="20" s="1"/>
  <c r="M23" i="20" a="1"/>
  <c r="M23" i="20" s="1"/>
  <c r="N23" i="20" s="1"/>
  <c r="M24" i="20" a="1"/>
  <c r="M24" i="20" s="1"/>
  <c r="N24" i="20" s="1"/>
  <c r="M25" i="20" a="1"/>
  <c r="M25" i="20"/>
  <c r="M26" i="20" a="1"/>
  <c r="M26" i="20" s="1"/>
  <c r="M27" i="20" a="1"/>
  <c r="M27" i="20"/>
  <c r="M28" i="20" a="1"/>
  <c r="M28" i="20" s="1"/>
  <c r="M29" i="20" a="1"/>
  <c r="M29" i="20" s="1"/>
  <c r="N29" i="20" s="1"/>
  <c r="M30" i="20" a="1"/>
  <c r="M30" i="20" s="1"/>
  <c r="M31" i="20" a="1"/>
  <c r="M31" i="20"/>
  <c r="M32" i="20" a="1"/>
  <c r="M32" i="20" s="1"/>
  <c r="N32" i="20" s="1"/>
  <c r="M33" i="20" a="1"/>
  <c r="M33" i="20"/>
  <c r="N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N39" i="20" s="1"/>
  <c r="M40" i="20" a="1"/>
  <c r="M40" i="20" s="1"/>
  <c r="N40" i="20" s="1"/>
  <c r="M41" i="20" a="1"/>
  <c r="M41" i="20" s="1"/>
  <c r="N41" i="20" s="1"/>
  <c r="M42" i="20" a="1"/>
  <c r="M42" i="20" s="1"/>
  <c r="M43" i="20" a="1"/>
  <c r="M43" i="20" s="1"/>
  <c r="M44" i="20" a="1"/>
  <c r="M44" i="20" s="1"/>
  <c r="N44" i="20" s="1"/>
  <c r="M45" i="20" a="1"/>
  <c r="M45" i="20"/>
  <c r="M46" i="20" a="1"/>
  <c r="M46" i="20" s="1"/>
  <c r="N46" i="20" s="1"/>
  <c r="M47" i="20" a="1"/>
  <c r="M47" i="20" s="1"/>
  <c r="M48" i="20" a="1"/>
  <c r="M48" i="20" s="1"/>
  <c r="N48" i="20" s="1"/>
  <c r="M49" i="20" a="1"/>
  <c r="M49" i="20"/>
  <c r="N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N56" i="20" s="1"/>
  <c r="M57" i="20" a="1"/>
  <c r="M57" i="20" s="1"/>
  <c r="N57" i="20" s="1"/>
  <c r="M58" i="20" a="1"/>
  <c r="M58" i="20" s="1"/>
  <c r="M59" i="20" a="1"/>
  <c r="M59" i="20" s="1"/>
  <c r="N59" i="20" s="1"/>
  <c r="M60" i="20" a="1"/>
  <c r="M60" i="20" s="1"/>
  <c r="N60" i="20" s="1"/>
  <c r="M61" i="20" a="1"/>
  <c r="M61" i="20" s="1"/>
  <c r="N61" i="20" s="1"/>
  <c r="M62" i="20" a="1"/>
  <c r="M62" i="20" s="1"/>
  <c r="M63" i="20" a="1"/>
  <c r="M63" i="20"/>
  <c r="M64" i="20" a="1"/>
  <c r="M64" i="20" s="1"/>
  <c r="N64" i="20" s="1"/>
  <c r="M65" i="20" a="1"/>
  <c r="M65" i="20" s="1"/>
  <c r="N65" i="20" s="1"/>
  <c r="M66" i="20" a="1"/>
  <c r="M66" i="20" s="1"/>
  <c r="M67" i="20" a="1"/>
  <c r="M67" i="20" s="1"/>
  <c r="N67" i="20" s="1"/>
  <c r="M68" i="20" a="1"/>
  <c r="M68" i="20" s="1"/>
  <c r="M69" i="20" a="1"/>
  <c r="M69" i="20" s="1"/>
  <c r="M70" i="20" a="1"/>
  <c r="M70" i="20" s="1"/>
  <c r="M71" i="20" a="1"/>
  <c r="M71" i="20" s="1"/>
  <c r="M72" i="20" a="1"/>
  <c r="M72" i="20" s="1"/>
  <c r="N72" i="20" s="1"/>
  <c r="M73" i="20" a="1"/>
  <c r="M73" i="20" s="1"/>
  <c r="N73" i="20" s="1"/>
  <c r="M74" i="20" a="1"/>
  <c r="M74" i="20" s="1"/>
  <c r="M75" i="20" a="1"/>
  <c r="M75" i="20"/>
  <c r="N75" i="20" s="1"/>
  <c r="M76" i="20" a="1"/>
  <c r="M76" i="20" s="1"/>
  <c r="M77" i="20" a="1"/>
  <c r="M77" i="20" s="1"/>
  <c r="N77" i="20" s="1"/>
  <c r="M78" i="20" a="1"/>
  <c r="M78" i="20" s="1"/>
  <c r="M79" i="20" a="1"/>
  <c r="M79" i="20"/>
  <c r="M80" i="20" a="1"/>
  <c r="M80" i="20" s="1"/>
  <c r="N80" i="20" s="1"/>
  <c r="M81" i="20" a="1"/>
  <c r="M81" i="20" s="1"/>
  <c r="M82" i="20" a="1"/>
  <c r="M82" i="20" s="1"/>
  <c r="M83" i="20" a="1"/>
  <c r="M83" i="20" s="1"/>
  <c r="M84" i="20" a="1"/>
  <c r="M84" i="20" s="1"/>
  <c r="M85" i="20" a="1"/>
  <c r="M85" i="20" s="1"/>
  <c r="N85" i="20" s="1"/>
  <c r="M86" i="20" a="1"/>
  <c r="M86" i="20" s="1"/>
  <c r="M87" i="20" a="1"/>
  <c r="M87" i="20" s="1"/>
  <c r="M88" i="20" a="1"/>
  <c r="M88" i="20" s="1"/>
  <c r="N88" i="20" s="1"/>
  <c r="M89" i="20" a="1"/>
  <c r="M89" i="20"/>
  <c r="N89" i="20" s="1"/>
  <c r="M90" i="20" a="1"/>
  <c r="M90" i="20" s="1"/>
  <c r="M91" i="20" a="1"/>
  <c r="M91" i="20"/>
  <c r="M92" i="20" a="1"/>
  <c r="M92" i="20" s="1"/>
  <c r="M93" i="20" a="1"/>
  <c r="M93" i="20" s="1"/>
  <c r="N93" i="20" s="1"/>
  <c r="M94" i="20" a="1"/>
  <c r="M94" i="20" s="1"/>
  <c r="M95" i="20" a="1"/>
  <c r="M95" i="20" s="1"/>
  <c r="N95" i="20" s="1"/>
  <c r="M96" i="20" a="1"/>
  <c r="M96" i="20" s="1"/>
  <c r="N96" i="20" s="1"/>
  <c r="M97" i="20" a="1"/>
  <c r="M97" i="20" s="1"/>
  <c r="M98" i="20" a="1"/>
  <c r="M98" i="20" s="1"/>
  <c r="M99" i="20" a="1"/>
  <c r="M99" i="20" s="1"/>
  <c r="M100" i="20" a="1"/>
  <c r="M100" i="20" s="1"/>
  <c r="N100" i="20" s="1"/>
  <c r="M101" i="20" a="1"/>
  <c r="M101" i="20" s="1"/>
  <c r="M102" i="20" a="1"/>
  <c r="M102" i="20" s="1"/>
  <c r="M103" i="20" a="1"/>
  <c r="M103" i="20" s="1"/>
  <c r="M104" i="20" a="1"/>
  <c r="M104" i="20" s="1"/>
  <c r="N104" i="20" s="1"/>
  <c r="M105" i="20" a="1"/>
  <c r="M105" i="20"/>
  <c r="M106" i="20" a="1"/>
  <c r="M106" i="20" s="1"/>
  <c r="M107" i="20" a="1"/>
  <c r="M107" i="20"/>
  <c r="N107" i="20" s="1"/>
  <c r="M108" i="20" a="1"/>
  <c r="M108" i="20" s="1"/>
  <c r="N108" i="20" s="1"/>
  <c r="M109" i="20" a="1"/>
  <c r="M109" i="20"/>
  <c r="M110" i="20" a="1"/>
  <c r="M110" i="20" s="1"/>
  <c r="M111" i="20" a="1"/>
  <c r="M111" i="20" s="1"/>
  <c r="N111" i="20" s="1"/>
  <c r="M112" i="20" a="1"/>
  <c r="M112" i="20" s="1"/>
  <c r="N112" i="20" s="1"/>
  <c r="M113" i="20" a="1"/>
  <c r="M113" i="20" s="1"/>
  <c r="N113" i="20" s="1"/>
  <c r="M114" i="20" a="1"/>
  <c r="M114" i="20" s="1"/>
  <c r="M115" i="20" a="1"/>
  <c r="M115" i="20" s="1"/>
  <c r="N115" i="20" s="1"/>
  <c r="M116" i="20" a="1"/>
  <c r="M116" i="20" s="1"/>
  <c r="M117" i="20" a="1"/>
  <c r="M117" i="20" s="1"/>
  <c r="M118" i="20" a="1"/>
  <c r="M118" i="20" s="1"/>
  <c r="M119" i="20" a="1"/>
  <c r="M119" i="20" s="1"/>
  <c r="N119" i="20" s="1"/>
  <c r="M120" i="20" a="1"/>
  <c r="M120" i="20" s="1"/>
  <c r="N120" i="20" s="1"/>
  <c r="M121" i="20" a="1"/>
  <c r="M121" i="20" s="1"/>
  <c r="N121" i="20" s="1"/>
  <c r="M122" i="20" a="1"/>
  <c r="M122" i="20" s="1"/>
  <c r="M123" i="20" a="1"/>
  <c r="M123" i="20"/>
  <c r="M124" i="20" a="1"/>
  <c r="M124" i="20" s="1"/>
  <c r="N124" i="20" s="1"/>
  <c r="M125" i="20" a="1"/>
  <c r="M125" i="20"/>
  <c r="M126" i="20" a="1"/>
  <c r="M126" i="20" s="1"/>
  <c r="M127" i="20" a="1"/>
  <c r="M127" i="20"/>
  <c r="N127" i="20" s="1"/>
  <c r="M128" i="20" a="1"/>
  <c r="M128" i="20" s="1"/>
  <c r="N128" i="20" s="1"/>
  <c r="M129" i="20" a="1"/>
  <c r="M129" i="20" s="1"/>
  <c r="N129" i="20" s="1"/>
  <c r="M130" i="20" a="1"/>
  <c r="M130" i="20"/>
  <c r="M131" i="20" a="1"/>
  <c r="M131" i="20" s="1"/>
  <c r="M132" i="20" a="1"/>
  <c r="M132" i="20" s="1"/>
  <c r="M133" i="20" a="1"/>
  <c r="M133" i="20"/>
  <c r="M134" i="20" a="1"/>
  <c r="M134" i="20" s="1"/>
  <c r="N134" i="20" s="1"/>
  <c r="M135" i="20" a="1"/>
  <c r="M135" i="20"/>
  <c r="M136" i="20" a="1"/>
  <c r="M136" i="20" s="1"/>
  <c r="N136" i="20" s="1"/>
  <c r="M137" i="20" a="1"/>
  <c r="M137" i="20"/>
  <c r="M138" i="20" a="1"/>
  <c r="M138" i="20"/>
  <c r="M139" i="20" a="1"/>
  <c r="M139" i="20"/>
  <c r="M140" i="20" a="1"/>
  <c r="M140" i="20" s="1"/>
  <c r="M141" i="20" a="1"/>
  <c r="M141" i="20" s="1"/>
  <c r="N141" i="20" s="1"/>
  <c r="M142" i="20" a="1"/>
  <c r="M142" i="20"/>
  <c r="M143" i="20" a="1"/>
  <c r="M143" i="20"/>
  <c r="M144" i="20" a="1"/>
  <c r="M144" i="20" s="1"/>
  <c r="N144" i="20" s="1"/>
  <c r="M145" i="20" a="1"/>
  <c r="M145" i="20"/>
  <c r="N145" i="20" s="1"/>
  <c r="M146" i="20" a="1"/>
  <c r="M146" i="20" s="1"/>
  <c r="M147" i="20" a="1"/>
  <c r="M147" i="20" s="1"/>
  <c r="M148" i="20" a="1"/>
  <c r="M148" i="20" s="1"/>
  <c r="M149" i="20" a="1"/>
  <c r="M149" i="20" s="1"/>
  <c r="M150" i="20" a="1"/>
  <c r="M150" i="20" s="1"/>
  <c r="N150" i="20" s="1"/>
  <c r="M151" i="20" a="1"/>
  <c r="M151" i="20" s="1"/>
  <c r="N151" i="20" s="1"/>
  <c r="N2" i="20"/>
  <c r="N4" i="20"/>
  <c r="N5" i="20"/>
  <c r="N10" i="20"/>
  <c r="N12" i="20"/>
  <c r="N13" i="20"/>
  <c r="N14" i="20"/>
  <c r="N20" i="20"/>
  <c r="N22" i="20"/>
  <c r="N25" i="20"/>
  <c r="N26" i="20"/>
  <c r="N28" i="20"/>
  <c r="N30" i="20"/>
  <c r="N34" i="20"/>
  <c r="N36" i="20"/>
  <c r="N37" i="20"/>
  <c r="N38" i="20"/>
  <c r="N42" i="20"/>
  <c r="N50" i="20"/>
  <c r="N52" i="20"/>
  <c r="N54" i="20"/>
  <c r="N58" i="20"/>
  <c r="N62" i="20"/>
  <c r="N66" i="20"/>
  <c r="N68" i="20"/>
  <c r="N70" i="20"/>
  <c r="N74" i="20"/>
  <c r="N76" i="20"/>
  <c r="N78" i="20"/>
  <c r="N79" i="20"/>
  <c r="N82" i="20"/>
  <c r="N84" i="20"/>
  <c r="N86" i="20"/>
  <c r="N90" i="20"/>
  <c r="N92" i="20"/>
  <c r="N101" i="20"/>
  <c r="N102" i="20"/>
  <c r="N106" i="20"/>
  <c r="N109" i="20"/>
  <c r="N110" i="20"/>
  <c r="N116" i="20"/>
  <c r="N118" i="20"/>
  <c r="N122" i="20"/>
  <c r="N125" i="20"/>
  <c r="N132" i="20"/>
  <c r="N133" i="20"/>
  <c r="N138" i="20"/>
  <c r="N140" i="20"/>
  <c r="N143" i="20"/>
  <c r="N148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/>
  <c r="O18" i="20" a="1"/>
  <c r="O18" i="20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/>
  <c r="O82" i="20" a="1"/>
  <c r="O82" i="20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/>
  <c r="O105" i="20" a="1"/>
  <c r="O105" i="20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/>
  <c r="O113" i="20" a="1"/>
  <c r="O113" i="20" s="1"/>
  <c r="O114" i="20" a="1"/>
  <c r="O114" i="20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/>
  <c r="O145" i="20" a="1"/>
  <c r="O145" i="20"/>
  <c r="O146" i="20" a="1"/>
  <c r="O146" i="20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P2" i="20" a="1"/>
  <c r="P2" i="20" s="1"/>
  <c r="P3" i="20" a="1"/>
  <c r="P3" i="20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/>
  <c r="P27" i="20" a="1"/>
  <c r="P27" i="20" s="1"/>
  <c r="P28" i="20" a="1"/>
  <c r="P28" i="20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/>
  <c r="P36" i="20" a="1"/>
  <c r="P36" i="20" s="1"/>
  <c r="P37" i="20" a="1"/>
  <c r="P37" i="20"/>
  <c r="P38" i="20" a="1"/>
  <c r="P38" i="20" s="1"/>
  <c r="P39" i="20" a="1"/>
  <c r="P39" i="20"/>
  <c r="P40" i="20" a="1"/>
  <c r="P40" i="20" s="1"/>
  <c r="P41" i="20" a="1"/>
  <c r="P41" i="20"/>
  <c r="P42" i="20" a="1"/>
  <c r="P42" i="20" s="1"/>
  <c r="P43" i="20" a="1"/>
  <c r="P43" i="20" s="1"/>
  <c r="P44" i="20" a="1"/>
  <c r="P44" i="20"/>
  <c r="P45" i="20" a="1"/>
  <c r="P45" i="20" s="1"/>
  <c r="P46" i="20" a="1"/>
  <c r="P46" i="20" s="1"/>
  <c r="P47" i="20" a="1"/>
  <c r="P47" i="20"/>
  <c r="P48" i="20" a="1"/>
  <c r="P48" i="20" s="1"/>
  <c r="P49" i="20" a="1"/>
  <c r="P49" i="20" s="1"/>
  <c r="P50" i="20" a="1"/>
  <c r="P50" i="20" s="1"/>
  <c r="P51" i="20" a="1"/>
  <c r="P51" i="20" s="1"/>
  <c r="P52" i="20" a="1"/>
  <c r="P52" i="20"/>
  <c r="P53" i="20" a="1"/>
  <c r="P53" i="20" s="1"/>
  <c r="P54" i="20" a="1"/>
  <c r="P54" i="20" s="1"/>
  <c r="P55" i="20" a="1"/>
  <c r="P55" i="20"/>
  <c r="P56" i="20" a="1"/>
  <c r="P56" i="20" s="1"/>
  <c r="P57" i="20" a="1"/>
  <c r="P57" i="20" s="1"/>
  <c r="P58" i="20" a="1"/>
  <c r="P58" i="20" s="1"/>
  <c r="P59" i="20" a="1"/>
  <c r="P59" i="20" s="1"/>
  <c r="P60" i="20" a="1"/>
  <c r="P60" i="20"/>
  <c r="P61" i="20" a="1"/>
  <c r="P61" i="20" s="1"/>
  <c r="P62" i="20" a="1"/>
  <c r="P62" i="20" s="1"/>
  <c r="P63" i="20" a="1"/>
  <c r="P63" i="20" s="1"/>
  <c r="P64" i="20" a="1"/>
  <c r="P64" i="20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/>
  <c r="P77" i="20" a="1"/>
  <c r="P77" i="20" s="1"/>
  <c r="P78" i="20" a="1"/>
  <c r="P78" i="20" s="1"/>
  <c r="P79" i="20" a="1"/>
  <c r="P79" i="20" s="1"/>
  <c r="P80" i="20" a="1"/>
  <c r="P80" i="20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/>
  <c r="P93" i="20" a="1"/>
  <c r="P93" i="20" s="1"/>
  <c r="P94" i="20" a="1"/>
  <c r="P94" i="20" s="1"/>
  <c r="P95" i="20" a="1"/>
  <c r="P95" i="20" s="1"/>
  <c r="P96" i="20" a="1"/>
  <c r="P96" i="20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/>
  <c r="P109" i="20" a="1"/>
  <c r="P109" i="20" s="1"/>
  <c r="P110" i="20" a="1"/>
  <c r="P110" i="20" s="1"/>
  <c r="P111" i="20" a="1"/>
  <c r="P111" i="20" s="1"/>
  <c r="P112" i="20" a="1"/>
  <c r="P112" i="20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/>
  <c r="P125" i="20" a="1"/>
  <c r="P125" i="20" s="1"/>
  <c r="P126" i="20" a="1"/>
  <c r="P126" i="20" s="1"/>
  <c r="P127" i="20" a="1"/>
  <c r="P127" i="20" s="1"/>
  <c r="P128" i="20" a="1"/>
  <c r="P128" i="20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/>
  <c r="N126" i="18" a="1"/>
  <c r="N126" i="18" s="1"/>
  <c r="N127" i="18" a="1"/>
  <c r="N127" i="18" s="1"/>
  <c r="N128" i="18" a="1"/>
  <c r="N128" i="18" s="1"/>
  <c r="N129" i="18" a="1"/>
  <c r="N129" i="18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/>
  <c r="N158" i="18" a="1"/>
  <c r="N158" i="18" s="1"/>
  <c r="N159" i="18" a="1"/>
  <c r="N159" i="18" s="1"/>
  <c r="N160" i="18" a="1"/>
  <c r="N160" i="18" s="1"/>
  <c r="N161" i="18" a="1"/>
  <c r="N161" i="18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 s="1"/>
  <c r="O155" i="18" a="1"/>
  <c r="O155" i="18" s="1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 s="1"/>
  <c r="O161" i="18" a="1"/>
  <c r="O161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Q2" i="18" a="1"/>
  <c r="Q2" i="18" s="1"/>
  <c r="Q3" i="18" a="1"/>
  <c r="Q3" i="18" s="1"/>
  <c r="R3" i="18" s="1"/>
  <c r="Q4" i="18" a="1"/>
  <c r="Q4" i="18" s="1"/>
  <c r="Q5" i="18" a="1"/>
  <c r="Q5" i="18" s="1"/>
  <c r="Q6" i="18" a="1"/>
  <c r="Q6" i="18" s="1"/>
  <c r="R6" i="18" s="1"/>
  <c r="U6" i="18" s="1"/>
  <c r="Q7" i="18" a="1"/>
  <c r="Q7" i="18" s="1"/>
  <c r="R7" i="18" s="1"/>
  <c r="Q8" i="18" a="1"/>
  <c r="Q8" i="18" s="1"/>
  <c r="Q9" i="18" a="1"/>
  <c r="Q9" i="18" s="1"/>
  <c r="Q10" i="18" a="1"/>
  <c r="Q10" i="18" s="1"/>
  <c r="Q11" i="18" a="1"/>
  <c r="Q11" i="18" s="1"/>
  <c r="R11" i="18" s="1"/>
  <c r="Q12" i="18" a="1"/>
  <c r="Q12" i="18" s="1"/>
  <c r="Q13" i="18" a="1"/>
  <c r="Q13" i="18" s="1"/>
  <c r="Q14" i="18" a="1"/>
  <c r="Q14" i="18" s="1"/>
  <c r="R14" i="18" s="1"/>
  <c r="U14" i="18" s="1"/>
  <c r="Q15" i="18" a="1"/>
  <c r="Q15" i="18" s="1"/>
  <c r="R15" i="18" s="1"/>
  <c r="Q16" i="18" a="1"/>
  <c r="Q16" i="18" s="1"/>
  <c r="Q17" i="18" a="1"/>
  <c r="Q17" i="18" s="1"/>
  <c r="Q18" i="18" a="1"/>
  <c r="Q18" i="18" s="1"/>
  <c r="Q19" i="18" a="1"/>
  <c r="Q19" i="18" s="1"/>
  <c r="R19" i="18" s="1"/>
  <c r="Q20" i="18" a="1"/>
  <c r="Q20" i="18" s="1"/>
  <c r="Q21" i="18" a="1"/>
  <c r="Q21" i="18" s="1"/>
  <c r="Q22" i="18" a="1"/>
  <c r="Q22" i="18" s="1"/>
  <c r="R22" i="18" s="1"/>
  <c r="U22" i="18" s="1"/>
  <c r="Q23" i="18" a="1"/>
  <c r="Q23" i="18" s="1"/>
  <c r="R23" i="18" s="1"/>
  <c r="Q24" i="18" a="1"/>
  <c r="Q24" i="18" s="1"/>
  <c r="Q25" i="18" a="1"/>
  <c r="Q25" i="18" s="1"/>
  <c r="Q26" i="18" a="1"/>
  <c r="Q26" i="18" s="1"/>
  <c r="Q27" i="18" a="1"/>
  <c r="Q27" i="18" s="1"/>
  <c r="R27" i="18" s="1"/>
  <c r="Q28" i="18" a="1"/>
  <c r="Q28" i="18" s="1"/>
  <c r="Q29" i="18" a="1"/>
  <c r="Q29" i="18" s="1"/>
  <c r="Q30" i="18" a="1"/>
  <c r="Q30" i="18" s="1"/>
  <c r="R30" i="18" s="1"/>
  <c r="U30" i="18" s="1"/>
  <c r="Q31" i="18" a="1"/>
  <c r="Q31" i="18" s="1"/>
  <c r="R31" i="18" s="1"/>
  <c r="Q32" i="18" a="1"/>
  <c r="Q32" i="18" s="1"/>
  <c r="Q33" i="18" a="1"/>
  <c r="Q33" i="18" s="1"/>
  <c r="R33" i="18" s="1"/>
  <c r="U33" i="18" s="1"/>
  <c r="Q34" i="18" a="1"/>
  <c r="Q34" i="18" s="1"/>
  <c r="Q35" i="18" a="1"/>
  <c r="Q35" i="18" s="1"/>
  <c r="R35" i="18" s="1"/>
  <c r="Q36" i="18" a="1"/>
  <c r="Q36" i="18" s="1"/>
  <c r="Q37" i="18" a="1"/>
  <c r="Q37" i="18" s="1"/>
  <c r="R37" i="18" s="1"/>
  <c r="Q38" i="18" a="1"/>
  <c r="Q38" i="18" s="1"/>
  <c r="R38" i="18" s="1"/>
  <c r="U38" i="18" s="1"/>
  <c r="Q39" i="18" a="1"/>
  <c r="Q39" i="18" s="1"/>
  <c r="R39" i="18" s="1"/>
  <c r="Q40" i="18" a="1"/>
  <c r="Q40" i="18" s="1"/>
  <c r="Q41" i="18" a="1"/>
  <c r="Q41" i="18" s="1"/>
  <c r="Q42" i="18" a="1"/>
  <c r="Q42" i="18" s="1"/>
  <c r="Q43" i="18" a="1"/>
  <c r="Q43" i="18" s="1"/>
  <c r="R43" i="18" s="1"/>
  <c r="Q44" i="18" a="1"/>
  <c r="Q44" i="18" s="1"/>
  <c r="Q45" i="18" a="1"/>
  <c r="Q45" i="18" s="1"/>
  <c r="Q46" i="18" a="1"/>
  <c r="Q46" i="18" s="1"/>
  <c r="Q47" i="18" a="1"/>
  <c r="Q47" i="18" s="1"/>
  <c r="R47" i="18" s="1"/>
  <c r="Q48" i="18" a="1"/>
  <c r="Q48" i="18" s="1"/>
  <c r="Q49" i="18" a="1"/>
  <c r="Q49" i="18" s="1"/>
  <c r="R49" i="18" s="1"/>
  <c r="U49" i="18" s="1"/>
  <c r="Q50" i="18" a="1"/>
  <c r="Q50" i="18" s="1"/>
  <c r="Q51" i="18" a="1"/>
  <c r="Q51" i="18" s="1"/>
  <c r="Q52" i="18" a="1"/>
  <c r="Q52" i="18" s="1"/>
  <c r="Q53" i="18" a="1"/>
  <c r="Q53" i="18" s="1"/>
  <c r="R53" i="18" s="1"/>
  <c r="Q54" i="18" a="1"/>
  <c r="Q54" i="18" s="1"/>
  <c r="R54" i="18" s="1"/>
  <c r="U54" i="18" s="1"/>
  <c r="Q55" i="18" a="1"/>
  <c r="Q55" i="18" s="1"/>
  <c r="Q56" i="18" a="1"/>
  <c r="Q56" i="18" s="1"/>
  <c r="Q57" i="18" a="1"/>
  <c r="Q57" i="18" s="1"/>
  <c r="Q58" i="18" a="1"/>
  <c r="Q58" i="18" s="1"/>
  <c r="R58" i="18" s="1"/>
  <c r="U58" i="18" s="1"/>
  <c r="Q59" i="18" a="1"/>
  <c r="Q59" i="18" s="1"/>
  <c r="Q60" i="18" a="1"/>
  <c r="Q60" i="18" s="1"/>
  <c r="R60" i="18" s="1"/>
  <c r="U60" i="18" s="1"/>
  <c r="Q61" i="18" a="1"/>
  <c r="Q61" i="18" s="1"/>
  <c r="R61" i="18" s="1"/>
  <c r="Q62" i="18" a="1"/>
  <c r="Q62" i="18" s="1"/>
  <c r="Q63" i="18" a="1"/>
  <c r="Q63" i="18" s="1"/>
  <c r="R63" i="18" s="1"/>
  <c r="U63" i="18" s="1"/>
  <c r="Q64" i="18" a="1"/>
  <c r="Q64" i="18" s="1"/>
  <c r="Q65" i="18" a="1"/>
  <c r="Q65" i="18" s="1"/>
  <c r="Q66" i="18" a="1"/>
  <c r="Q66" i="18" s="1"/>
  <c r="Q67" i="18" a="1"/>
  <c r="Q67" i="18" s="1"/>
  <c r="Q68" i="18" a="1"/>
  <c r="Q68" i="18" s="1"/>
  <c r="R68" i="18" s="1"/>
  <c r="U68" i="18" s="1"/>
  <c r="Q69" i="18" a="1"/>
  <c r="Q69" i="18" s="1"/>
  <c r="R69" i="18" s="1"/>
  <c r="Q70" i="18" a="1"/>
  <c r="Q70" i="18" s="1"/>
  <c r="R70" i="18" s="1"/>
  <c r="U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R76" i="18" s="1"/>
  <c r="U76" i="18" s="1"/>
  <c r="Q77" i="18" a="1"/>
  <c r="Q77" i="18" s="1"/>
  <c r="Q78" i="18" a="1"/>
  <c r="Q78" i="18" s="1"/>
  <c r="Q79" i="18" a="1"/>
  <c r="Q79" i="18" s="1"/>
  <c r="Q80" i="18" a="1"/>
  <c r="Q80" i="18" s="1"/>
  <c r="Q81" i="18" a="1"/>
  <c r="Q81" i="18" s="1"/>
  <c r="R81" i="18" s="1"/>
  <c r="U81" i="18" s="1"/>
  <c r="Q82" i="18" a="1"/>
  <c r="Q82" i="18" s="1"/>
  <c r="Q83" i="18" a="1"/>
  <c r="Q83" i="18" s="1"/>
  <c r="R83" i="18" s="1"/>
  <c r="U83" i="18" s="1"/>
  <c r="Q84" i="18" a="1"/>
  <c r="Q84" i="18" s="1"/>
  <c r="Q85" i="18" a="1"/>
  <c r="Q85" i="18" s="1"/>
  <c r="Q86" i="18" a="1"/>
  <c r="Q86" i="18" s="1"/>
  <c r="R86" i="18" s="1"/>
  <c r="U86" i="18" s="1"/>
  <c r="Q87" i="18" a="1"/>
  <c r="Q87" i="18" s="1"/>
  <c r="Q88" i="18" a="1"/>
  <c r="Q88" i="18" s="1"/>
  <c r="Q89" i="18" a="1"/>
  <c r="Q89" i="18" s="1"/>
  <c r="Q90" i="18" a="1"/>
  <c r="Q90" i="18" s="1"/>
  <c r="R90" i="18" s="1"/>
  <c r="U90" i="18" s="1"/>
  <c r="Q91" i="18" a="1"/>
  <c r="Q91" i="18" s="1"/>
  <c r="Q92" i="18" a="1"/>
  <c r="Q92" i="18" s="1"/>
  <c r="Q93" i="18" a="1"/>
  <c r="Q93" i="18" s="1"/>
  <c r="R93" i="18" s="1"/>
  <c r="Q94" i="18" a="1"/>
  <c r="Q94" i="18" s="1"/>
  <c r="Q95" i="18" a="1"/>
  <c r="Q95" i="18" s="1"/>
  <c r="R95" i="18" s="1"/>
  <c r="U95" i="18" s="1"/>
  <c r="Q96" i="18" a="1"/>
  <c r="Q96" i="18" s="1"/>
  <c r="Q97" i="18" a="1"/>
  <c r="Q97" i="18"/>
  <c r="Q98" i="18" a="1"/>
  <c r="Q98" i="18" s="1"/>
  <c r="Q99" i="18" a="1"/>
  <c r="Q99" i="18" s="1"/>
  <c r="Q100" i="18" a="1"/>
  <c r="Q100" i="18" s="1"/>
  <c r="Q101" i="18" a="1"/>
  <c r="Q101" i="18" s="1"/>
  <c r="R101" i="18" s="1"/>
  <c r="Q102" i="18" a="1"/>
  <c r="Q102" i="18" s="1"/>
  <c r="R102" i="18" s="1"/>
  <c r="U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 s="1"/>
  <c r="R108" i="18" s="1"/>
  <c r="U108" i="18" s="1"/>
  <c r="Q109" i="18" a="1"/>
  <c r="Q109" i="18" s="1"/>
  <c r="Q110" i="18" a="1"/>
  <c r="Q110" i="18" s="1"/>
  <c r="Q111" i="18" a="1"/>
  <c r="Q111" i="18" s="1"/>
  <c r="Q112" i="18" a="1"/>
  <c r="Q112" i="18" s="1"/>
  <c r="Q113" i="18" a="1"/>
  <c r="Q113" i="18" s="1"/>
  <c r="R113" i="18" s="1"/>
  <c r="U113" i="18" s="1"/>
  <c r="Q114" i="18" a="1"/>
  <c r="Q114" i="18" s="1"/>
  <c r="Q115" i="18" a="1"/>
  <c r="Q115" i="18" s="1"/>
  <c r="Q116" i="18" a="1"/>
  <c r="Q116" i="18" s="1"/>
  <c r="Q117" i="18" a="1"/>
  <c r="Q117" i="18" s="1"/>
  <c r="Q118" i="18" a="1"/>
  <c r="Q118" i="18" s="1"/>
  <c r="R118" i="18" s="1"/>
  <c r="U118" i="18" s="1"/>
  <c r="Q119" i="18" a="1"/>
  <c r="Q119" i="18" s="1"/>
  <c r="Q120" i="18" a="1"/>
  <c r="Q120" i="18" s="1"/>
  <c r="Q121" i="18" a="1"/>
  <c r="Q121" i="18" s="1"/>
  <c r="Q122" i="18" a="1"/>
  <c r="Q122" i="18" s="1"/>
  <c r="R122" i="18" s="1"/>
  <c r="U122" i="18" s="1"/>
  <c r="Q123" i="18" a="1"/>
  <c r="Q123" i="18" s="1"/>
  <c r="R123" i="18" s="1"/>
  <c r="U123" i="18" s="1"/>
  <c r="Q124" i="18" a="1"/>
  <c r="Q124" i="18" s="1"/>
  <c r="Q125" i="18" a="1"/>
  <c r="Q125" i="18" s="1"/>
  <c r="R125" i="18" s="1"/>
  <c r="Q126" i="18" a="1"/>
  <c r="Q126" i="18" s="1"/>
  <c r="Q127" i="18" a="1"/>
  <c r="Q127" i="18" s="1"/>
  <c r="R127" i="18" s="1"/>
  <c r="U127" i="18" s="1"/>
  <c r="Q128" i="18" a="1"/>
  <c r="Q128" i="18" s="1"/>
  <c r="Q129" i="18" a="1"/>
  <c r="Q129" i="18" s="1"/>
  <c r="R129" i="18" s="1"/>
  <c r="U129" i="18" s="1"/>
  <c r="Q130" i="18" a="1"/>
  <c r="Q130" i="18" s="1"/>
  <c r="Q131" i="18" a="1"/>
  <c r="Q131" i="18" s="1"/>
  <c r="Q132" i="18" a="1"/>
  <c r="Q132" i="18" s="1"/>
  <c r="Q133" i="18" a="1"/>
  <c r="Q133" i="18" s="1"/>
  <c r="R133" i="18" s="1"/>
  <c r="Q134" i="18" a="1"/>
  <c r="Q134" i="18" s="1"/>
  <c r="R134" i="18" s="1"/>
  <c r="U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 s="1"/>
  <c r="R140" i="18" s="1"/>
  <c r="U140" i="18" s="1"/>
  <c r="Q141" i="18" a="1"/>
  <c r="Q141" i="18" s="1"/>
  <c r="Q142" i="18" a="1"/>
  <c r="Q142" i="18" s="1"/>
  <c r="Q143" i="18" a="1"/>
  <c r="Q143" i="18" s="1"/>
  <c r="Q144" i="18" a="1"/>
  <c r="Q144" i="18" s="1"/>
  <c r="Q145" i="18" a="1"/>
  <c r="Q145" i="18" s="1"/>
  <c r="R145" i="18" s="1"/>
  <c r="U145" i="18" s="1"/>
  <c r="Q146" i="18" a="1"/>
  <c r="Q146" i="18" s="1"/>
  <c r="Q147" i="18" a="1"/>
  <c r="Q147" i="18" s="1"/>
  <c r="Q148" i="18" a="1"/>
  <c r="Q148" i="18" s="1"/>
  <c r="Q149" i="18" a="1"/>
  <c r="Q149" i="18" s="1"/>
  <c r="Q150" i="18" a="1"/>
  <c r="Q150" i="18" s="1"/>
  <c r="R150" i="18" s="1"/>
  <c r="U150" i="18" s="1"/>
  <c r="Q151" i="18" a="1"/>
  <c r="Q151" i="18" s="1"/>
  <c r="Q152" i="18" a="1"/>
  <c r="Q152" i="18" s="1"/>
  <c r="Q153" i="18" a="1"/>
  <c r="Q153" i="18" s="1"/>
  <c r="Q154" i="18" a="1"/>
  <c r="Q154" i="18" s="1"/>
  <c r="R154" i="18" s="1"/>
  <c r="U154" i="18" s="1"/>
  <c r="Q155" i="18" a="1"/>
  <c r="Q155" i="18" s="1"/>
  <c r="Q156" i="18" a="1"/>
  <c r="Q156" i="18" s="1"/>
  <c r="Q157" i="18" a="1"/>
  <c r="Q157" i="18" s="1"/>
  <c r="R157" i="18" s="1"/>
  <c r="Q158" i="18" a="1"/>
  <c r="Q158" i="18" s="1"/>
  <c r="Q159" i="18" a="1"/>
  <c r="Q159" i="18" s="1"/>
  <c r="R159" i="18" s="1"/>
  <c r="U159" i="18" s="1"/>
  <c r="Q160" i="18" a="1"/>
  <c r="Q160" i="18" s="1"/>
  <c r="Q161" i="18" a="1"/>
  <c r="Q161" i="18"/>
  <c r="R2" i="18"/>
  <c r="R4" i="18"/>
  <c r="R8" i="18"/>
  <c r="R10" i="18"/>
  <c r="R12" i="18"/>
  <c r="R16" i="18"/>
  <c r="R18" i="18"/>
  <c r="R20" i="18"/>
  <c r="R24" i="18"/>
  <c r="R25" i="18"/>
  <c r="R26" i="18"/>
  <c r="R28" i="18"/>
  <c r="R32" i="18"/>
  <c r="R34" i="18"/>
  <c r="R36" i="18"/>
  <c r="R40" i="18"/>
  <c r="R41" i="18"/>
  <c r="R42" i="18"/>
  <c r="R44" i="18"/>
  <c r="R46" i="18"/>
  <c r="R48" i="18"/>
  <c r="R50" i="18"/>
  <c r="R51" i="18"/>
  <c r="R52" i="18"/>
  <c r="R55" i="18"/>
  <c r="R56" i="18"/>
  <c r="R57" i="18"/>
  <c r="R59" i="18"/>
  <c r="R62" i="18"/>
  <c r="R64" i="18"/>
  <c r="R66" i="18"/>
  <c r="R67" i="18"/>
  <c r="R71" i="18"/>
  <c r="R72" i="18"/>
  <c r="R73" i="18"/>
  <c r="R74" i="18"/>
  <c r="R75" i="18"/>
  <c r="R78" i="18"/>
  <c r="R79" i="18"/>
  <c r="R80" i="18"/>
  <c r="R82" i="18"/>
  <c r="R84" i="18"/>
  <c r="R87" i="18"/>
  <c r="R88" i="18"/>
  <c r="R89" i="18"/>
  <c r="R91" i="18"/>
  <c r="R92" i="18"/>
  <c r="R94" i="18"/>
  <c r="R96" i="18"/>
  <c r="R98" i="18"/>
  <c r="R100" i="18"/>
  <c r="R103" i="18"/>
  <c r="R104" i="18"/>
  <c r="R105" i="18"/>
  <c r="R106" i="18"/>
  <c r="R107" i="18"/>
  <c r="R110" i="18"/>
  <c r="R111" i="18"/>
  <c r="R112" i="18"/>
  <c r="R114" i="18"/>
  <c r="R115" i="18"/>
  <c r="R116" i="18"/>
  <c r="R119" i="18"/>
  <c r="R120" i="18"/>
  <c r="R121" i="18"/>
  <c r="R124" i="18"/>
  <c r="R126" i="18"/>
  <c r="R128" i="18"/>
  <c r="R130" i="18"/>
  <c r="R132" i="18"/>
  <c r="R135" i="18"/>
  <c r="R136" i="18"/>
  <c r="R137" i="18"/>
  <c r="R138" i="18"/>
  <c r="R139" i="18"/>
  <c r="R142" i="18"/>
  <c r="R143" i="18"/>
  <c r="R144" i="18"/>
  <c r="R146" i="18"/>
  <c r="R147" i="18"/>
  <c r="R148" i="18"/>
  <c r="R151" i="18"/>
  <c r="R152" i="18"/>
  <c r="R153" i="18"/>
  <c r="R155" i="18"/>
  <c r="R156" i="18"/>
  <c r="R158" i="18"/>
  <c r="R160" i="18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/>
  <c r="S29" i="18" a="1"/>
  <c r="S29" i="18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/>
  <c r="S45" i="18" a="1"/>
  <c r="S45" i="18"/>
  <c r="S46" i="18" a="1"/>
  <c r="S46" i="18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/>
  <c r="S62" i="18" a="1"/>
  <c r="S62" i="18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/>
  <c r="S93" i="18" a="1"/>
  <c r="S93" i="18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/>
  <c r="S109" i="18" a="1"/>
  <c r="S109" i="18"/>
  <c r="S110" i="18" a="1"/>
  <c r="S110" i="18"/>
  <c r="S111" i="18" a="1"/>
  <c r="S111" i="18" s="1"/>
  <c r="S112" i="18" a="1"/>
  <c r="S112" i="18" s="1"/>
  <c r="S113" i="18" a="1"/>
  <c r="S113" i="18"/>
  <c r="S114" i="18" a="1"/>
  <c r="S114" i="18"/>
  <c r="S115" i="18" a="1"/>
  <c r="S115" i="18" s="1"/>
  <c r="S116" i="18" a="1"/>
  <c r="S116" i="18"/>
  <c r="S117" i="18" a="1"/>
  <c r="S117" i="18" s="1"/>
  <c r="S118" i="18" a="1"/>
  <c r="S118" i="18"/>
  <c r="S119" i="18" a="1"/>
  <c r="S119" i="18" s="1"/>
  <c r="S120" i="18" a="1"/>
  <c r="S120" i="18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/>
  <c r="S131" i="18" a="1"/>
  <c r="S131" i="18" s="1"/>
  <c r="S132" i="18" a="1"/>
  <c r="S132" i="18"/>
  <c r="S133" i="18" a="1"/>
  <c r="S133" i="18" s="1"/>
  <c r="S134" i="18" a="1"/>
  <c r="S134" i="18"/>
  <c r="S135" i="18" a="1"/>
  <c r="S135" i="18" s="1"/>
  <c r="S136" i="18" a="1"/>
  <c r="S136" i="18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/>
  <c r="S149" i="18" a="1"/>
  <c r="S149" i="18" s="1"/>
  <c r="S150" i="18" a="1"/>
  <c r="S150" i="18"/>
  <c r="S151" i="18" a="1"/>
  <c r="S151" i="18" s="1"/>
  <c r="S152" i="18" a="1"/>
  <c r="S152" i="18"/>
  <c r="S153" i="18" a="1"/>
  <c r="S153" i="18" s="1"/>
  <c r="S154" i="18" a="1"/>
  <c r="S154" i="18" s="1"/>
  <c r="S155" i="18" a="1"/>
  <c r="S155" i="18" s="1"/>
  <c r="S156" i="18" a="1"/>
  <c r="S156" i="18" s="1"/>
  <c r="S157" i="18" a="1"/>
  <c r="S157" i="18" s="1"/>
  <c r="S158" i="18" a="1"/>
  <c r="S158" i="18" s="1"/>
  <c r="S159" i="18" a="1"/>
  <c r="S159" i="18" s="1"/>
  <c r="S160" i="18" a="1"/>
  <c r="S160" i="18" s="1"/>
  <c r="S161" i="18" a="1"/>
  <c r="S161" i="18" s="1"/>
  <c r="T2" i="18" a="1"/>
  <c r="T2" i="18" s="1"/>
  <c r="T3" i="18" a="1"/>
  <c r="T3" i="18" s="1"/>
  <c r="T4" i="18" a="1"/>
  <c r="T4" i="18"/>
  <c r="T5" i="18" a="1"/>
  <c r="T5" i="18" s="1"/>
  <c r="T6" i="18" a="1"/>
  <c r="T6" i="18"/>
  <c r="T7" i="18" a="1"/>
  <c r="T7" i="18" s="1"/>
  <c r="T8" i="18" a="1"/>
  <c r="T8" i="18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 s="1"/>
  <c r="T160" i="18" a="1"/>
  <c r="T160" i="18" s="1"/>
  <c r="T161" i="18" a="1"/>
  <c r="T161" i="18" s="1"/>
  <c r="U2" i="18"/>
  <c r="U3" i="18"/>
  <c r="U4" i="18"/>
  <c r="U7" i="18"/>
  <c r="U8" i="18"/>
  <c r="U10" i="18"/>
  <c r="U11" i="18"/>
  <c r="U12" i="18"/>
  <c r="U15" i="18"/>
  <c r="U16" i="18"/>
  <c r="U18" i="18"/>
  <c r="U19" i="18"/>
  <c r="U20" i="18"/>
  <c r="U23" i="18"/>
  <c r="U24" i="18"/>
  <c r="U25" i="18"/>
  <c r="U26" i="18"/>
  <c r="U27" i="18"/>
  <c r="U28" i="18"/>
  <c r="U31" i="18"/>
  <c r="U32" i="18"/>
  <c r="U34" i="18"/>
  <c r="U35" i="18"/>
  <c r="U36" i="18"/>
  <c r="U37" i="18"/>
  <c r="U39" i="18"/>
  <c r="U40" i="18"/>
  <c r="U41" i="18"/>
  <c r="U42" i="18"/>
  <c r="U43" i="18"/>
  <c r="U44" i="18"/>
  <c r="U46" i="18"/>
  <c r="U47" i="18"/>
  <c r="U48" i="18"/>
  <c r="U50" i="18"/>
  <c r="U51" i="18"/>
  <c r="U52" i="18"/>
  <c r="U53" i="18"/>
  <c r="U55" i="18"/>
  <c r="U56" i="18"/>
  <c r="U57" i="18"/>
  <c r="U59" i="18"/>
  <c r="U61" i="18"/>
  <c r="U62" i="18"/>
  <c r="U64" i="18"/>
  <c r="U66" i="18"/>
  <c r="U67" i="18"/>
  <c r="U69" i="18"/>
  <c r="U71" i="18"/>
  <c r="U72" i="18"/>
  <c r="U73" i="18"/>
  <c r="U74" i="18"/>
  <c r="U75" i="18"/>
  <c r="U78" i="18"/>
  <c r="U79" i="18"/>
  <c r="U80" i="18"/>
  <c r="U82" i="18"/>
  <c r="U84" i="18"/>
  <c r="U87" i="18"/>
  <c r="U88" i="18"/>
  <c r="U89" i="18"/>
  <c r="U91" i="18"/>
  <c r="U92" i="18"/>
  <c r="U93" i="18"/>
  <c r="U94" i="18"/>
  <c r="U96" i="18"/>
  <c r="U98" i="18"/>
  <c r="U100" i="18"/>
  <c r="U101" i="18"/>
  <c r="U103" i="18"/>
  <c r="U104" i="18"/>
  <c r="U105" i="18"/>
  <c r="U106" i="18"/>
  <c r="U107" i="18"/>
  <c r="U110" i="18"/>
  <c r="U111" i="18"/>
  <c r="U112" i="18"/>
  <c r="U114" i="18"/>
  <c r="U115" i="18"/>
  <c r="U116" i="18"/>
  <c r="U119" i="18"/>
  <c r="U120" i="18"/>
  <c r="U121" i="18"/>
  <c r="U124" i="18"/>
  <c r="U125" i="18"/>
  <c r="U126" i="18"/>
  <c r="U128" i="18"/>
  <c r="U130" i="18"/>
  <c r="U132" i="18"/>
  <c r="U133" i="18"/>
  <c r="U135" i="18"/>
  <c r="U136" i="18"/>
  <c r="U137" i="18"/>
  <c r="U138" i="18"/>
  <c r="U139" i="18"/>
  <c r="U142" i="18"/>
  <c r="U143" i="18"/>
  <c r="U144" i="18"/>
  <c r="U146" i="18"/>
  <c r="U147" i="18"/>
  <c r="U148" i="18"/>
  <c r="U151" i="18"/>
  <c r="U152" i="18"/>
  <c r="U153" i="18"/>
  <c r="U155" i="18"/>
  <c r="U156" i="18"/>
  <c r="U157" i="18"/>
  <c r="U158" i="18"/>
  <c r="U160" i="18"/>
  <c r="L2" i="17"/>
  <c r="L3" i="17"/>
  <c r="L4" i="17"/>
  <c r="L5" i="17"/>
  <c r="L6" i="17"/>
  <c r="L7" i="17"/>
  <c r="L62" i="17"/>
  <c r="L63" i="17"/>
  <c r="L64" i="17"/>
  <c r="L65" i="17"/>
  <c r="L66" i="17"/>
  <c r="L67" i="17"/>
  <c r="L122" i="17"/>
  <c r="L123" i="17"/>
  <c r="L124" i="17"/>
  <c r="L125" i="17"/>
  <c r="L126" i="17"/>
  <c r="L127" i="17"/>
  <c r="L182" i="17"/>
  <c r="L192" i="17"/>
  <c r="L202" i="17"/>
  <c r="L8" i="17"/>
  <c r="L9" i="17"/>
  <c r="L10" i="17"/>
  <c r="L11" i="17"/>
  <c r="L12" i="17"/>
  <c r="L13" i="17"/>
  <c r="L68" i="17"/>
  <c r="L69" i="17"/>
  <c r="L70" i="17"/>
  <c r="L71" i="17"/>
  <c r="L72" i="17"/>
  <c r="L73" i="17"/>
  <c r="L128" i="17"/>
  <c r="L129" i="17"/>
  <c r="L130" i="17"/>
  <c r="L131" i="17"/>
  <c r="L132" i="17"/>
  <c r="L133" i="17"/>
  <c r="L183" i="17"/>
  <c r="L193" i="17"/>
  <c r="L203" i="17"/>
  <c r="L14" i="17"/>
  <c r="L15" i="17"/>
  <c r="L16" i="17"/>
  <c r="L17" i="17"/>
  <c r="L18" i="17"/>
  <c r="L19" i="17"/>
  <c r="L74" i="17"/>
  <c r="L75" i="17"/>
  <c r="L76" i="17"/>
  <c r="L77" i="17"/>
  <c r="L78" i="17"/>
  <c r="L79" i="17"/>
  <c r="L134" i="17"/>
  <c r="L135" i="17"/>
  <c r="L136" i="17"/>
  <c r="L137" i="17"/>
  <c r="L138" i="17"/>
  <c r="L139" i="17"/>
  <c r="L184" i="17"/>
  <c r="L194" i="17"/>
  <c r="L204" i="17"/>
  <c r="L20" i="17"/>
  <c r="L21" i="17"/>
  <c r="L22" i="17"/>
  <c r="L23" i="17"/>
  <c r="L24" i="17"/>
  <c r="L25" i="17"/>
  <c r="L80" i="17"/>
  <c r="L81" i="17"/>
  <c r="L82" i="17"/>
  <c r="L83" i="17"/>
  <c r="L84" i="17"/>
  <c r="L85" i="17"/>
  <c r="L140" i="17"/>
  <c r="L141" i="17"/>
  <c r="L142" i="17"/>
  <c r="L143" i="17"/>
  <c r="L144" i="17"/>
  <c r="L145" i="17"/>
  <c r="L185" i="17"/>
  <c r="L195" i="17"/>
  <c r="L205" i="17"/>
  <c r="L26" i="17"/>
  <c r="L27" i="17"/>
  <c r="L28" i="17"/>
  <c r="L29" i="17"/>
  <c r="L30" i="17"/>
  <c r="L31" i="17"/>
  <c r="L86" i="17"/>
  <c r="L87" i="17"/>
  <c r="L88" i="17"/>
  <c r="L89" i="17"/>
  <c r="L90" i="17"/>
  <c r="L91" i="17"/>
  <c r="L146" i="17"/>
  <c r="L147" i="17"/>
  <c r="L148" i="17"/>
  <c r="L149" i="17"/>
  <c r="L150" i="17"/>
  <c r="L151" i="17"/>
  <c r="L186" i="17"/>
  <c r="L196" i="17"/>
  <c r="L206" i="17"/>
  <c r="L32" i="17"/>
  <c r="L33" i="17"/>
  <c r="L34" i="17"/>
  <c r="L35" i="17"/>
  <c r="L36" i="17"/>
  <c r="L37" i="17"/>
  <c r="N10" i="17" s="1" a="1"/>
  <c r="N10" i="17" s="1"/>
  <c r="L92" i="17"/>
  <c r="L93" i="17"/>
  <c r="L94" i="17"/>
  <c r="L95" i="17"/>
  <c r="L96" i="17"/>
  <c r="L97" i="17"/>
  <c r="L152" i="17"/>
  <c r="L153" i="17"/>
  <c r="L154" i="17"/>
  <c r="L155" i="17"/>
  <c r="L156" i="17"/>
  <c r="L157" i="17"/>
  <c r="L187" i="17"/>
  <c r="L197" i="17"/>
  <c r="L207" i="17"/>
  <c r="L38" i="17"/>
  <c r="N73" i="17" s="1" a="1"/>
  <c r="N73" i="17" s="1"/>
  <c r="L39" i="17"/>
  <c r="L40" i="17"/>
  <c r="L41" i="17"/>
  <c r="L42" i="17"/>
  <c r="L43" i="17"/>
  <c r="L98" i="17"/>
  <c r="L99" i="17"/>
  <c r="L100" i="17"/>
  <c r="L101" i="17"/>
  <c r="L102" i="17"/>
  <c r="L103" i="17"/>
  <c r="L158" i="17"/>
  <c r="L159" i="17"/>
  <c r="L160" i="17"/>
  <c r="L161" i="17"/>
  <c r="L162" i="17"/>
  <c r="L163" i="17"/>
  <c r="L188" i="17"/>
  <c r="L198" i="17"/>
  <c r="L208" i="17"/>
  <c r="L44" i="17"/>
  <c r="L45" i="17"/>
  <c r="L46" i="17"/>
  <c r="L47" i="17"/>
  <c r="N203" i="17" s="1" a="1"/>
  <c r="N203" i="17" s="1"/>
  <c r="L48" i="17"/>
  <c r="L49" i="17"/>
  <c r="L104" i="17"/>
  <c r="L105" i="17"/>
  <c r="L106" i="17"/>
  <c r="L107" i="17"/>
  <c r="L108" i="17"/>
  <c r="L109" i="17"/>
  <c r="L164" i="17"/>
  <c r="L165" i="17"/>
  <c r="L166" i="17"/>
  <c r="L167" i="17"/>
  <c r="L168" i="17"/>
  <c r="L169" i="17"/>
  <c r="L189" i="17"/>
  <c r="L199" i="17"/>
  <c r="L209" i="17"/>
  <c r="L50" i="17"/>
  <c r="L51" i="17"/>
  <c r="L52" i="17"/>
  <c r="L53" i="17"/>
  <c r="L54" i="17"/>
  <c r="L55" i="17"/>
  <c r="L110" i="17"/>
  <c r="L111" i="17"/>
  <c r="L112" i="17"/>
  <c r="L113" i="17"/>
  <c r="L114" i="17"/>
  <c r="L115" i="17"/>
  <c r="L170" i="17"/>
  <c r="L171" i="17"/>
  <c r="L172" i="17"/>
  <c r="L173" i="17"/>
  <c r="L174" i="17"/>
  <c r="L175" i="17"/>
  <c r="L190" i="17"/>
  <c r="L200" i="17"/>
  <c r="L210" i="17"/>
  <c r="L56" i="17"/>
  <c r="L57" i="17"/>
  <c r="N76" i="17" s="1" a="1"/>
  <c r="N76" i="17" s="1"/>
  <c r="L58" i="17"/>
  <c r="L59" i="17"/>
  <c r="L60" i="17"/>
  <c r="L61" i="17"/>
  <c r="L116" i="17"/>
  <c r="L117" i="17"/>
  <c r="L118" i="17"/>
  <c r="L119" i="17"/>
  <c r="L120" i="17"/>
  <c r="L121" i="17"/>
  <c r="L176" i="17"/>
  <c r="L177" i="17"/>
  <c r="L178" i="17"/>
  <c r="L179" i="17"/>
  <c r="L180" i="17"/>
  <c r="L181" i="17"/>
  <c r="L191" i="17"/>
  <c r="L201" i="17"/>
  <c r="L211" i="17"/>
  <c r="M2" i="17" a="1"/>
  <c r="M2" i="17" s="1"/>
  <c r="M3" i="17" a="1"/>
  <c r="M3" i="17" s="1"/>
  <c r="M4" i="17" a="1"/>
  <c r="M4" i="17" s="1"/>
  <c r="Y4" i="17" s="1"/>
  <c r="Q4" i="17" s="1"/>
  <c r="W4" i="17" s="1"/>
  <c r="M5" i="17" a="1"/>
  <c r="M5" i="17" s="1"/>
  <c r="M6" i="17" a="1"/>
  <c r="M6" i="17" s="1"/>
  <c r="Y6" i="17" s="1"/>
  <c r="Q6" i="17" s="1"/>
  <c r="W6" i="17" s="1"/>
  <c r="M7" i="17" a="1"/>
  <c r="M7" i="17" s="1"/>
  <c r="M62" i="17" a="1"/>
  <c r="M62" i="17" s="1"/>
  <c r="M63" i="17" a="1"/>
  <c r="M63" i="17" s="1"/>
  <c r="M64" i="17" a="1"/>
  <c r="M64" i="17" s="1"/>
  <c r="Y64" i="17" s="1"/>
  <c r="Q64" i="17" s="1"/>
  <c r="W64" i="17" s="1"/>
  <c r="M65" i="17" a="1"/>
  <c r="M65" i="17" s="1"/>
  <c r="M66" i="17" a="1"/>
  <c r="M66" i="17" s="1"/>
  <c r="Y66" i="17" s="1"/>
  <c r="Q66" i="17" s="1"/>
  <c r="W66" i="17" s="1"/>
  <c r="M67" i="17" a="1"/>
  <c r="M67" i="17"/>
  <c r="M122" i="17" a="1"/>
  <c r="M122" i="17" s="1"/>
  <c r="M123" i="17" a="1"/>
  <c r="M123" i="17" s="1"/>
  <c r="M124" i="17" a="1"/>
  <c r="M124" i="17" s="1"/>
  <c r="M125" i="17" a="1"/>
  <c r="M125" i="17" s="1"/>
  <c r="M126" i="17" a="1"/>
  <c r="M126" i="17" s="1"/>
  <c r="Y126" i="17" s="1"/>
  <c r="Q126" i="17" s="1"/>
  <c r="W126" i="17" s="1"/>
  <c r="M127" i="17" a="1"/>
  <c r="M127" i="17" s="1"/>
  <c r="M182" i="17" a="1"/>
  <c r="M182" i="17" s="1"/>
  <c r="M192" i="17" a="1"/>
  <c r="M192" i="17" s="1"/>
  <c r="M202" i="17" a="1"/>
  <c r="M202" i="17" s="1"/>
  <c r="M8" i="17" a="1"/>
  <c r="M8" i="17" s="1"/>
  <c r="M9" i="17" a="1"/>
  <c r="M9" i="17" s="1"/>
  <c r="Y9" i="17" s="1"/>
  <c r="Q9" i="17" s="1"/>
  <c r="W9" i="17" s="1"/>
  <c r="M10" i="17" a="1"/>
  <c r="M10" i="17" s="1"/>
  <c r="M11" i="17" a="1"/>
  <c r="M11" i="17"/>
  <c r="M12" i="17" a="1"/>
  <c r="M12" i="17" s="1"/>
  <c r="M13" i="17" a="1"/>
  <c r="M13" i="17" s="1"/>
  <c r="M68" i="17" a="1"/>
  <c r="M68" i="17" s="1"/>
  <c r="M69" i="17" a="1"/>
  <c r="M69" i="17" s="1"/>
  <c r="M70" i="17" a="1"/>
  <c r="M70" i="17" s="1"/>
  <c r="M71" i="17" a="1"/>
  <c r="M71" i="17"/>
  <c r="M72" i="17" a="1"/>
  <c r="M72" i="17" s="1"/>
  <c r="M73" i="17" a="1"/>
  <c r="M73" i="17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183" i="17" a="1"/>
  <c r="M183" i="17" s="1"/>
  <c r="M193" i="17" a="1"/>
  <c r="M193" i="17" s="1"/>
  <c r="M203" i="17" a="1"/>
  <c r="M20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184" i="17" a="1"/>
  <c r="M184" i="17"/>
  <c r="M194" i="17" a="1"/>
  <c r="M194" i="17" s="1"/>
  <c r="M204" i="17" a="1"/>
  <c r="M204" i="17" s="1"/>
  <c r="M20" i="17" a="1"/>
  <c r="M20" i="17" s="1"/>
  <c r="M21" i="17" a="1"/>
  <c r="M21" i="17"/>
  <c r="M22" i="17" a="1"/>
  <c r="M22" i="17" s="1"/>
  <c r="M23" i="17" a="1"/>
  <c r="M23" i="17" s="1"/>
  <c r="M24" i="17" a="1"/>
  <c r="M24" i="17" s="1"/>
  <c r="M25" i="17" a="1"/>
  <c r="M25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Y85" i="17" s="1"/>
  <c r="Q85" i="17" s="1"/>
  <c r="W85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185" i="17" a="1"/>
  <c r="M185" i="17" s="1"/>
  <c r="M195" i="17" a="1"/>
  <c r="M195" i="17" s="1"/>
  <c r="M205" i="17" a="1"/>
  <c r="M20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86" i="17" a="1"/>
  <c r="M86" i="17" s="1"/>
  <c r="M87" i="17" a="1"/>
  <c r="M87" i="17" s="1"/>
  <c r="M88" i="17" a="1"/>
  <c r="M88" i="17" s="1"/>
  <c r="Y88" i="17" s="1"/>
  <c r="Q88" i="17" s="1"/>
  <c r="W88" i="17" s="1"/>
  <c r="M89" i="17" a="1"/>
  <c r="M89" i="17" s="1"/>
  <c r="M90" i="17" a="1"/>
  <c r="M90" i="17" s="1"/>
  <c r="M91" i="17" a="1"/>
  <c r="M91" i="17"/>
  <c r="M146" i="17" a="1"/>
  <c r="M146" i="17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 s="1"/>
  <c r="M186" i="17" a="1"/>
  <c r="M186" i="17" s="1"/>
  <c r="M196" i="17" a="1"/>
  <c r="M196" i="17" s="1"/>
  <c r="M206" i="17" a="1"/>
  <c r="M206" i="17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152" i="17" a="1"/>
  <c r="M152" i="17" s="1"/>
  <c r="M153" i="17" a="1"/>
  <c r="M153" i="17" s="1"/>
  <c r="M154" i="17" a="1"/>
  <c r="M154" i="17" s="1"/>
  <c r="M155" i="17" a="1"/>
  <c r="M155" i="17" s="1"/>
  <c r="M156" i="17" a="1"/>
  <c r="M156" i="17" s="1"/>
  <c r="M157" i="17" a="1"/>
  <c r="M157" i="17"/>
  <c r="M187" i="17" a="1"/>
  <c r="M187" i="17" s="1"/>
  <c r="M197" i="17" a="1"/>
  <c r="M197" i="17" s="1"/>
  <c r="M207" i="17" a="1"/>
  <c r="M207" i="17" s="1"/>
  <c r="M38" i="17" a="1"/>
  <c r="M38" i="17" s="1"/>
  <c r="M39" i="17" a="1"/>
  <c r="M39" i="17"/>
  <c r="M40" i="17" a="1"/>
  <c r="M40" i="17" s="1"/>
  <c r="M41" i="17" a="1"/>
  <c r="M41" i="17" s="1"/>
  <c r="M42" i="17" a="1"/>
  <c r="M42" i="17" s="1"/>
  <c r="M43" i="17" a="1"/>
  <c r="M43" i="17" s="1"/>
  <c r="M98" i="17" a="1"/>
  <c r="M98" i="17" s="1"/>
  <c r="M99" i="17" a="1"/>
  <c r="M99" i="17" s="1"/>
  <c r="M100" i="17" a="1"/>
  <c r="M100" i="17"/>
  <c r="M101" i="17" a="1"/>
  <c r="M101" i="17"/>
  <c r="M102" i="17" a="1"/>
  <c r="M102" i="17" s="1"/>
  <c r="M103" i="17" a="1"/>
  <c r="M103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Y162" i="17" s="1"/>
  <c r="Q162" i="17" s="1"/>
  <c r="W162" i="17" s="1"/>
  <c r="M163" i="17" a="1"/>
  <c r="M163" i="17"/>
  <c r="M188" i="17" a="1"/>
  <c r="M188" i="17" s="1"/>
  <c r="M198" i="17" a="1"/>
  <c r="M198" i="17" s="1"/>
  <c r="M208" i="17" a="1"/>
  <c r="M208" i="17" s="1"/>
  <c r="M44" i="17" a="1"/>
  <c r="M44" i="17" s="1"/>
  <c r="M45" i="17" a="1"/>
  <c r="M45" i="17" s="1"/>
  <c r="M46" i="17" a="1"/>
  <c r="M46" i="17" s="1"/>
  <c r="M47" i="17" a="1"/>
  <c r="M47" i="17" s="1"/>
  <c r="Y47" i="17" s="1"/>
  <c r="Q47" i="17" s="1"/>
  <c r="W47" i="17" s="1"/>
  <c r="M48" i="17" a="1"/>
  <c r="M48" i="17"/>
  <c r="M49" i="17" a="1"/>
  <c r="M49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164" i="17" a="1"/>
  <c r="M164" i="17" s="1"/>
  <c r="M165" i="17" a="1"/>
  <c r="M165" i="17"/>
  <c r="M166" i="17" a="1"/>
  <c r="M166" i="17" s="1"/>
  <c r="M167" i="17" a="1"/>
  <c r="M167" i="17" s="1"/>
  <c r="M168" i="17" a="1"/>
  <c r="M168" i="17" s="1"/>
  <c r="M169" i="17" a="1"/>
  <c r="M169" i="17" s="1"/>
  <c r="M189" i="17" a="1"/>
  <c r="M189" i="17" s="1"/>
  <c r="M199" i="17" a="1"/>
  <c r="M199" i="17"/>
  <c r="M209" i="17" a="1"/>
  <c r="M20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110" i="17" a="1"/>
  <c r="M110" i="17" s="1"/>
  <c r="M111" i="17" a="1"/>
  <c r="M111" i="17" s="1"/>
  <c r="M112" i="17" a="1"/>
  <c r="M112" i="17"/>
  <c r="M113" i="17" a="1"/>
  <c r="M113" i="17" s="1"/>
  <c r="M114" i="17" a="1"/>
  <c r="M114" i="17" s="1"/>
  <c r="M115" i="17" a="1"/>
  <c r="M115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190" i="17" a="1"/>
  <c r="M190" i="17" s="1"/>
  <c r="M200" i="17" a="1"/>
  <c r="M200" i="17" s="1"/>
  <c r="M210" i="17" a="1"/>
  <c r="M210" i="17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116" i="17" a="1"/>
  <c r="M116" i="17" s="1"/>
  <c r="M117" i="17" a="1"/>
  <c r="M117" i="17" s="1"/>
  <c r="M118" i="17" a="1"/>
  <c r="M118" i="17" s="1"/>
  <c r="M119" i="17" a="1"/>
  <c r="M119" i="17"/>
  <c r="M120" i="17" a="1"/>
  <c r="M120" i="17"/>
  <c r="M121" i="17" a="1"/>
  <c r="M121" i="17"/>
  <c r="M176" i="17" a="1"/>
  <c r="M176" i="17" s="1"/>
  <c r="M177" i="17" a="1"/>
  <c r="M177" i="17" s="1"/>
  <c r="M178" i="17" a="1"/>
  <c r="M178" i="17" s="1"/>
  <c r="M179" i="17" a="1"/>
  <c r="M179" i="17" s="1"/>
  <c r="M180" i="17" a="1"/>
  <c r="M180" i="17" s="1"/>
  <c r="M181" i="17" a="1"/>
  <c r="M181" i="17" s="1"/>
  <c r="Y181" i="17" s="1"/>
  <c r="Q181" i="17" s="1"/>
  <c r="W181" i="17" s="1"/>
  <c r="M191" i="17" a="1"/>
  <c r="M191" i="17"/>
  <c r="M201" i="17" a="1"/>
  <c r="M201" i="17" s="1"/>
  <c r="M211" i="17" a="1"/>
  <c r="M211" i="17" s="1"/>
  <c r="N9" i="17" a="1"/>
  <c r="N9" i="17" s="1"/>
  <c r="N72" i="17" a="1"/>
  <c r="N72" i="17" s="1"/>
  <c r="N183" i="17" a="1"/>
  <c r="N183" i="17" s="1"/>
  <c r="N15" i="17" a="1"/>
  <c r="N15" i="17" s="1"/>
  <c r="N18" i="17" a="1"/>
  <c r="N18" i="17" s="1"/>
  <c r="N74" i="17" a="1"/>
  <c r="N74" i="17" s="1"/>
  <c r="N78" i="17" a="1"/>
  <c r="N78" i="17" s="1"/>
  <c r="N79" i="17" a="1"/>
  <c r="N79" i="17" s="1"/>
  <c r="N135" i="17" a="1"/>
  <c r="N135" i="17" s="1"/>
  <c r="N136" i="17" a="1"/>
  <c r="N136" i="17" s="1"/>
  <c r="N137" i="17" a="1"/>
  <c r="N137" i="17" s="1"/>
  <c r="N138" i="17" a="1"/>
  <c r="N138" i="17" s="1"/>
  <c r="N139" i="17" a="1"/>
  <c r="N139" i="17" s="1"/>
  <c r="N184" i="17" a="1"/>
  <c r="N184" i="17" s="1"/>
  <c r="N194" i="17" a="1"/>
  <c r="N194" i="17" s="1"/>
  <c r="N204" i="17" a="1"/>
  <c r="N204" i="17" s="1"/>
  <c r="N20" i="17" a="1"/>
  <c r="N20" i="17" s="1"/>
  <c r="N21" i="17" a="1"/>
  <c r="N21" i="17" s="1"/>
  <c r="N22" i="17" a="1"/>
  <c r="N22" i="17" s="1"/>
  <c r="N23" i="17" a="1"/>
  <c r="N23" i="17" s="1"/>
  <c r="N24" i="17" a="1"/>
  <c r="N24" i="17" s="1"/>
  <c r="N25" i="17" a="1"/>
  <c r="N25" i="17" s="1"/>
  <c r="N80" i="17" a="1"/>
  <c r="N80" i="17"/>
  <c r="N81" i="17" a="1"/>
  <c r="N81" i="17" s="1"/>
  <c r="N82" i="17" a="1"/>
  <c r="N82" i="17" s="1"/>
  <c r="N83" i="17" a="1"/>
  <c r="N83" i="17" s="1"/>
  <c r="N84" i="17" a="1"/>
  <c r="N84" i="17" s="1"/>
  <c r="N85" i="17" a="1"/>
  <c r="N85" i="17" s="1"/>
  <c r="N140" i="17" a="1"/>
  <c r="N140" i="17" s="1"/>
  <c r="N141" i="17" a="1"/>
  <c r="N141" i="17" s="1"/>
  <c r="N142" i="17" a="1"/>
  <c r="N142" i="17" s="1"/>
  <c r="N143" i="17" a="1"/>
  <c r="N143" i="17" s="1"/>
  <c r="N144" i="17" a="1"/>
  <c r="N144" i="17" s="1"/>
  <c r="N145" i="17" a="1"/>
  <c r="N145" i="17" s="1"/>
  <c r="N185" i="17" a="1"/>
  <c r="N185" i="17" s="1"/>
  <c r="N195" i="17" a="1"/>
  <c r="N195" i="17" s="1"/>
  <c r="N205" i="17" a="1"/>
  <c r="N205" i="17" s="1"/>
  <c r="N26" i="17" a="1"/>
  <c r="N26" i="17" s="1"/>
  <c r="N27" i="17" a="1"/>
  <c r="N27" i="17" s="1"/>
  <c r="N28" i="17" a="1"/>
  <c r="N28" i="17" s="1"/>
  <c r="N29" i="17" a="1"/>
  <c r="N29" i="17" s="1"/>
  <c r="N30" i="17" a="1"/>
  <c r="N30" i="17" s="1"/>
  <c r="N31" i="17" a="1"/>
  <c r="N31" i="17" s="1"/>
  <c r="N86" i="17" a="1"/>
  <c r="N86" i="17" s="1"/>
  <c r="N87" i="17" a="1"/>
  <c r="N87" i="17" s="1"/>
  <c r="N88" i="17" a="1"/>
  <c r="N88" i="17" s="1"/>
  <c r="N89" i="17" a="1"/>
  <c r="N89" i="17"/>
  <c r="N90" i="17" a="1"/>
  <c r="N90" i="17" s="1"/>
  <c r="N91" i="17" a="1"/>
  <c r="N91" i="17" s="1"/>
  <c r="N146" i="17" a="1"/>
  <c r="N146" i="17" s="1"/>
  <c r="N147" i="17" a="1"/>
  <c r="N147" i="17" s="1"/>
  <c r="N148" i="17" a="1"/>
  <c r="N148" i="17" s="1"/>
  <c r="N149" i="17" a="1"/>
  <c r="N149" i="17" s="1"/>
  <c r="N150" i="17" a="1"/>
  <c r="N150" i="17" s="1"/>
  <c r="N151" i="17" a="1"/>
  <c r="N151" i="17" s="1"/>
  <c r="N186" i="17" a="1"/>
  <c r="N186" i="17"/>
  <c r="N196" i="17" a="1"/>
  <c r="N196" i="17" s="1"/>
  <c r="N206" i="17" a="1"/>
  <c r="N206" i="17" s="1"/>
  <c r="N32" i="17" a="1"/>
  <c r="N32" i="17" s="1"/>
  <c r="N33" i="17" a="1"/>
  <c r="N33" i="17" s="1"/>
  <c r="N34" i="17" a="1"/>
  <c r="N34" i="17" s="1"/>
  <c r="N35" i="17" a="1"/>
  <c r="N35" i="17" s="1"/>
  <c r="N36" i="17" a="1"/>
  <c r="N36" i="17" s="1"/>
  <c r="N37" i="17" a="1"/>
  <c r="N37" i="17" s="1"/>
  <c r="N92" i="17" a="1"/>
  <c r="N92" i="17" s="1"/>
  <c r="N93" i="17" a="1"/>
  <c r="N93" i="17" s="1"/>
  <c r="N94" i="17" a="1"/>
  <c r="N94" i="17" s="1"/>
  <c r="N95" i="17" a="1"/>
  <c r="N95" i="17" s="1"/>
  <c r="N96" i="17" a="1"/>
  <c r="N96" i="17" s="1"/>
  <c r="N97" i="17" a="1"/>
  <c r="N97" i="17" s="1"/>
  <c r="N152" i="17" a="1"/>
  <c r="N152" i="17" s="1"/>
  <c r="N153" i="17" a="1"/>
  <c r="N153" i="17" s="1"/>
  <c r="N154" i="17" a="1"/>
  <c r="N154" i="17" s="1"/>
  <c r="N155" i="17" a="1"/>
  <c r="N155" i="17" s="1"/>
  <c r="N156" i="17" a="1"/>
  <c r="N156" i="17" s="1"/>
  <c r="N157" i="17" a="1"/>
  <c r="N157" i="17" s="1"/>
  <c r="N187" i="17" a="1"/>
  <c r="N187" i="17" s="1"/>
  <c r="N197" i="17" a="1"/>
  <c r="N197" i="17"/>
  <c r="N207" i="17" a="1"/>
  <c r="N207" i="17" s="1"/>
  <c r="N38" i="17" a="1"/>
  <c r="N38" i="17" s="1"/>
  <c r="N39" i="17" a="1"/>
  <c r="N39" i="17" s="1"/>
  <c r="N40" i="17" a="1"/>
  <c r="N40" i="17" s="1"/>
  <c r="N41" i="17" a="1"/>
  <c r="N41" i="17" s="1"/>
  <c r="N42" i="17" a="1"/>
  <c r="N42" i="17" s="1"/>
  <c r="N43" i="17" a="1"/>
  <c r="N43" i="17" s="1"/>
  <c r="N98" i="17" a="1"/>
  <c r="N98" i="17" s="1"/>
  <c r="N99" i="17" a="1"/>
  <c r="N99" i="17" s="1"/>
  <c r="N100" i="17" a="1"/>
  <c r="N100" i="17" s="1"/>
  <c r="N101" i="17" a="1"/>
  <c r="N101" i="17" s="1"/>
  <c r="N102" i="17" a="1"/>
  <c r="N102" i="17" s="1"/>
  <c r="N103" i="17" a="1"/>
  <c r="N103" i="17" s="1"/>
  <c r="N158" i="17" a="1"/>
  <c r="N158" i="17" s="1"/>
  <c r="N159" i="17" a="1"/>
  <c r="N159" i="17"/>
  <c r="N160" i="17" a="1"/>
  <c r="N160" i="17" s="1"/>
  <c r="N161" i="17" a="1"/>
  <c r="N161" i="17" s="1"/>
  <c r="N162" i="17" a="1"/>
  <c r="N162" i="17" s="1"/>
  <c r="N163" i="17" a="1"/>
  <c r="N163" i="17" s="1"/>
  <c r="N188" i="17" a="1"/>
  <c r="N188" i="17" s="1"/>
  <c r="N198" i="17" a="1"/>
  <c r="N198" i="17" s="1"/>
  <c r="N208" i="17" a="1"/>
  <c r="N208" i="17" s="1"/>
  <c r="N44" i="17" a="1"/>
  <c r="N44" i="17" s="1"/>
  <c r="N45" i="17" a="1"/>
  <c r="N45" i="17" s="1"/>
  <c r="N46" i="17" a="1"/>
  <c r="N46" i="17" s="1"/>
  <c r="N47" i="17" a="1"/>
  <c r="N47" i="17"/>
  <c r="N48" i="17" a="1"/>
  <c r="N48" i="17" s="1"/>
  <c r="N49" i="17" a="1"/>
  <c r="N49" i="17" s="1"/>
  <c r="N104" i="17" a="1"/>
  <c r="N104" i="17" s="1"/>
  <c r="N105" i="17" a="1"/>
  <c r="N105" i="17" s="1"/>
  <c r="N106" i="17" a="1"/>
  <c r="N106" i="17" s="1"/>
  <c r="N107" i="17" a="1"/>
  <c r="N107" i="17" s="1"/>
  <c r="N108" i="17" a="1"/>
  <c r="N108" i="17" s="1"/>
  <c r="N109" i="17" a="1"/>
  <c r="N109" i="17" s="1"/>
  <c r="N164" i="17" a="1"/>
  <c r="N164" i="17" s="1"/>
  <c r="N165" i="17" a="1"/>
  <c r="N165" i="17" s="1"/>
  <c r="N166" i="17" a="1"/>
  <c r="N166" i="17"/>
  <c r="N167" i="17" a="1"/>
  <c r="N167" i="17" s="1"/>
  <c r="N168" i="17" a="1"/>
  <c r="N168" i="17" s="1"/>
  <c r="N169" i="17" a="1"/>
  <c r="N169" i="17" s="1"/>
  <c r="N189" i="17" a="1"/>
  <c r="N189" i="17" s="1"/>
  <c r="N199" i="17" a="1"/>
  <c r="N199" i="17" s="1"/>
  <c r="N209" i="17" a="1"/>
  <c r="N209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 s="1"/>
  <c r="N55" i="17" a="1"/>
  <c r="N55" i="17" s="1"/>
  <c r="N110" i="17" a="1"/>
  <c r="N110" i="17" s="1"/>
  <c r="N111" i="17" a="1"/>
  <c r="N111" i="17" s="1"/>
  <c r="N112" i="17" a="1"/>
  <c r="N112" i="17" s="1"/>
  <c r="N113" i="17" a="1"/>
  <c r="N113" i="17" s="1"/>
  <c r="N114" i="17" a="1"/>
  <c r="N114" i="17" s="1"/>
  <c r="N115" i="17" a="1"/>
  <c r="N115" i="17" s="1"/>
  <c r="N170" i="17" a="1"/>
  <c r="N170" i="17" s="1"/>
  <c r="N171" i="17" a="1"/>
  <c r="N171" i="17" s="1"/>
  <c r="N172" i="17" a="1"/>
  <c r="N172" i="17" s="1"/>
  <c r="N173" i="17" a="1"/>
  <c r="N173" i="17" s="1"/>
  <c r="N174" i="17" a="1"/>
  <c r="N174" i="17" s="1"/>
  <c r="N175" i="17" a="1"/>
  <c r="N175" i="17" s="1"/>
  <c r="N190" i="17" a="1"/>
  <c r="N190" i="17" s="1"/>
  <c r="N200" i="17" a="1"/>
  <c r="N200" i="17" s="1"/>
  <c r="N210" i="17" a="1"/>
  <c r="N210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116" i="17" a="1"/>
  <c r="N116" i="17" s="1"/>
  <c r="N117" i="17" a="1"/>
  <c r="N117" i="17" s="1"/>
  <c r="N118" i="17" a="1"/>
  <c r="N118" i="17" s="1"/>
  <c r="N119" i="17" a="1"/>
  <c r="N119" i="17" s="1"/>
  <c r="N120" i="17" a="1"/>
  <c r="N120" i="17" s="1"/>
  <c r="N121" i="17" a="1"/>
  <c r="N121" i="17" s="1"/>
  <c r="N176" i="17" a="1"/>
  <c r="N176" i="17" s="1"/>
  <c r="N177" i="17" a="1"/>
  <c r="N177" i="17"/>
  <c r="N178" i="17" a="1"/>
  <c r="N178" i="17" s="1"/>
  <c r="N179" i="17" a="1"/>
  <c r="N179" i="17" s="1"/>
  <c r="N180" i="17" a="1"/>
  <c r="N180" i="17" s="1"/>
  <c r="N181" i="17" a="1"/>
  <c r="N181" i="17" s="1"/>
  <c r="N191" i="17" a="1"/>
  <c r="N191" i="17" s="1"/>
  <c r="N201" i="17" a="1"/>
  <c r="N201" i="17" s="1"/>
  <c r="N211" i="17" a="1"/>
  <c r="N211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122" i="17" a="1"/>
  <c r="O122" i="17" s="1"/>
  <c r="O123" i="17" a="1"/>
  <c r="O123" i="17" s="1"/>
  <c r="O124" i="17" a="1"/>
  <c r="O124" i="17" s="1"/>
  <c r="O125" i="17" a="1"/>
  <c r="O125" i="17"/>
  <c r="O126" i="17" a="1"/>
  <c r="O126" i="17"/>
  <c r="O127" i="17" a="1"/>
  <c r="O127" i="17" s="1"/>
  <c r="O182" i="17" a="1"/>
  <c r="O182" i="17" s="1"/>
  <c r="O192" i="17" a="1"/>
  <c r="O192" i="17" s="1"/>
  <c r="O202" i="17" a="1"/>
  <c r="O202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128" i="17" a="1"/>
  <c r="O128" i="17" s="1"/>
  <c r="O129" i="17" a="1"/>
  <c r="O129" i="17" s="1"/>
  <c r="O130" i="17" a="1"/>
  <c r="O130" i="17" s="1"/>
  <c r="O131" i="17" a="1"/>
  <c r="O131" i="17" s="1"/>
  <c r="O132" i="17" a="1"/>
  <c r="O132" i="17" s="1"/>
  <c r="O133" i="17" a="1"/>
  <c r="O133" i="17" s="1"/>
  <c r="O183" i="17" a="1"/>
  <c r="O183" i="17" s="1"/>
  <c r="O193" i="17" a="1"/>
  <c r="O193" i="17" s="1"/>
  <c r="O203" i="17" a="1"/>
  <c r="O203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184" i="17" a="1"/>
  <c r="O184" i="17" s="1"/>
  <c r="O194" i="17" a="1"/>
  <c r="O194" i="17" s="1"/>
  <c r="O204" i="17" a="1"/>
  <c r="O204" i="17" s="1"/>
  <c r="O20" i="17" a="1"/>
  <c r="O20" i="17" s="1"/>
  <c r="O21" i="17" a="1"/>
  <c r="O21" i="17" s="1"/>
  <c r="O22" i="17" a="1"/>
  <c r="O22" i="17"/>
  <c r="O23" i="17" a="1"/>
  <c r="O23" i="17" s="1"/>
  <c r="O24" i="17" a="1"/>
  <c r="O24" i="17" s="1"/>
  <c r="O25" i="17" a="1"/>
  <c r="O25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/>
  <c r="O145" i="17" a="1"/>
  <c r="O145" i="17" s="1"/>
  <c r="O185" i="17" a="1"/>
  <c r="O185" i="17" s="1"/>
  <c r="O195" i="17" a="1"/>
  <c r="O195" i="17" s="1"/>
  <c r="O205" i="17" a="1"/>
  <c r="O205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146" i="17" a="1"/>
  <c r="O146" i="17" s="1"/>
  <c r="O147" i="17" a="1"/>
  <c r="O147" i="17" s="1"/>
  <c r="O148" i="17" a="1"/>
  <c r="O148" i="17" s="1"/>
  <c r="O149" i="17" a="1"/>
  <c r="O149" i="17" s="1"/>
  <c r="O150" i="17" a="1"/>
  <c r="O150" i="17"/>
  <c r="O151" i="17" a="1"/>
  <c r="O151" i="17" s="1"/>
  <c r="O186" i="17" a="1"/>
  <c r="O186" i="17" s="1"/>
  <c r="O196" i="17" a="1"/>
  <c r="O196" i="17" s="1"/>
  <c r="O206" i="17" a="1"/>
  <c r="O206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92" i="17" a="1"/>
  <c r="O92" i="17" s="1"/>
  <c r="O93" i="17" a="1"/>
  <c r="O93" i="17" s="1"/>
  <c r="O94" i="17" a="1"/>
  <c r="O94" i="17" s="1"/>
  <c r="O95" i="17" a="1"/>
  <c r="O95" i="17" s="1"/>
  <c r="O96" i="17" a="1"/>
  <c r="O96" i="17" s="1"/>
  <c r="O97" i="17" a="1"/>
  <c r="O97" i="17" s="1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/>
  <c r="O157" i="17" a="1"/>
  <c r="O157" i="17" s="1"/>
  <c r="O187" i="17" a="1"/>
  <c r="O187" i="17" s="1"/>
  <c r="O197" i="17" a="1"/>
  <c r="O197" i="17" s="1"/>
  <c r="O207" i="17" a="1"/>
  <c r="O207" i="17" s="1"/>
  <c r="O38" i="17" a="1"/>
  <c r="O38" i="17" s="1"/>
  <c r="O39" i="17" a="1"/>
  <c r="O39" i="17" s="1"/>
  <c r="O40" i="17" a="1"/>
  <c r="O40" i="17" s="1"/>
  <c r="O41" i="17" a="1"/>
  <c r="O41" i="17"/>
  <c r="O42" i="17" a="1"/>
  <c r="O42" i="17" s="1"/>
  <c r="O43" i="17" a="1"/>
  <c r="O43" i="17" s="1"/>
  <c r="O98" i="17" a="1"/>
  <c r="O98" i="17"/>
  <c r="O99" i="17" a="1"/>
  <c r="O99" i="17" s="1"/>
  <c r="O100" i="17" a="1"/>
  <c r="O100" i="17" s="1"/>
  <c r="O101" i="17" a="1"/>
  <c r="O101" i="17"/>
  <c r="O102" i="17" a="1"/>
  <c r="O102" i="17" s="1"/>
  <c r="O103" i="17" a="1"/>
  <c r="O103" i="17" s="1"/>
  <c r="O158" i="17" a="1"/>
  <c r="O158" i="17" s="1"/>
  <c r="O159" i="17" a="1"/>
  <c r="O159" i="17" s="1"/>
  <c r="O160" i="17" a="1"/>
  <c r="O160" i="17" s="1"/>
  <c r="O161" i="17" a="1"/>
  <c r="O161" i="17" s="1"/>
  <c r="O162" i="17" a="1"/>
  <c r="O162" i="17" s="1"/>
  <c r="O163" i="17" a="1"/>
  <c r="O163" i="17" s="1"/>
  <c r="O188" i="17" a="1"/>
  <c r="O188" i="17" s="1"/>
  <c r="O198" i="17" a="1"/>
  <c r="O198" i="17" s="1"/>
  <c r="O208" i="17" a="1"/>
  <c r="O208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 s="1"/>
  <c r="O164" i="17" a="1"/>
  <c r="O164" i="17" s="1"/>
  <c r="O165" i="17" a="1"/>
  <c r="O165" i="17" s="1"/>
  <c r="O166" i="17" a="1"/>
  <c r="O166" i="17" s="1"/>
  <c r="O167" i="17" a="1"/>
  <c r="O167" i="17" s="1"/>
  <c r="O168" i="17" a="1"/>
  <c r="O168" i="17" s="1"/>
  <c r="O169" i="17" a="1"/>
  <c r="O169" i="17" s="1"/>
  <c r="O189" i="17" a="1"/>
  <c r="O189" i="17" s="1"/>
  <c r="O199" i="17" a="1"/>
  <c r="O199" i="17" s="1"/>
  <c r="O209" i="17" a="1"/>
  <c r="O209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 s="1"/>
  <c r="O55" i="17" a="1"/>
  <c r="O55" i="17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170" i="17" a="1"/>
  <c r="O170" i="17" s="1"/>
  <c r="O171" i="17" a="1"/>
  <c r="O171" i="17" s="1"/>
  <c r="O172" i="17" a="1"/>
  <c r="O172" i="17" s="1"/>
  <c r="O173" i="17" a="1"/>
  <c r="O173" i="17" s="1"/>
  <c r="O174" i="17" a="1"/>
  <c r="O174" i="17" s="1"/>
  <c r="O175" i="17" a="1"/>
  <c r="O175" i="17" s="1"/>
  <c r="O190" i="17" a="1"/>
  <c r="O190" i="17" s="1"/>
  <c r="O200" i="17" a="1"/>
  <c r="O200" i="17" s="1"/>
  <c r="O210" i="17" a="1"/>
  <c r="O210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176" i="17" a="1"/>
  <c r="O176" i="17" s="1"/>
  <c r="O177" i="17" a="1"/>
  <c r="O177" i="17" s="1"/>
  <c r="O178" i="17" a="1"/>
  <c r="O178" i="17" s="1"/>
  <c r="O179" i="17" a="1"/>
  <c r="O179" i="17" s="1"/>
  <c r="O180" i="17" a="1"/>
  <c r="O180" i="17" s="1"/>
  <c r="O181" i="17" a="1"/>
  <c r="O181" i="17" s="1"/>
  <c r="O191" i="17" a="1"/>
  <c r="O191" i="17" s="1"/>
  <c r="O201" i="17" a="1"/>
  <c r="O201" i="17"/>
  <c r="O211" i="17" a="1"/>
  <c r="O21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122" i="17" a="1"/>
  <c r="P122" i="17" s="1"/>
  <c r="P123" i="17" a="1"/>
  <c r="P123" i="17" s="1"/>
  <c r="P124" i="17" a="1"/>
  <c r="P124" i="17" s="1"/>
  <c r="P125" i="17" a="1"/>
  <c r="P125" i="17"/>
  <c r="P126" i="17" a="1"/>
  <c r="P126" i="17" s="1"/>
  <c r="P127" i="17" a="1"/>
  <c r="P127" i="17" s="1"/>
  <c r="P182" i="17" a="1"/>
  <c r="P182" i="17" s="1"/>
  <c r="P192" i="17" a="1"/>
  <c r="P192" i="17" s="1"/>
  <c r="P202" i="17" a="1"/>
  <c r="P202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183" i="17" a="1"/>
  <c r="P183" i="17" s="1"/>
  <c r="P193" i="17" a="1"/>
  <c r="P193" i="17" s="1"/>
  <c r="P203" i="17" a="1"/>
  <c r="P20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134" i="17" a="1"/>
  <c r="P134" i="17" s="1"/>
  <c r="P135" i="17" a="1"/>
  <c r="P135" i="17" s="1"/>
  <c r="P136" i="17" a="1"/>
  <c r="P136" i="17" s="1"/>
  <c r="P137" i="17" a="1"/>
  <c r="P137" i="17" s="1"/>
  <c r="P138" i="17" a="1"/>
  <c r="P138" i="17" s="1"/>
  <c r="P139" i="17" a="1"/>
  <c r="P139" i="17" s="1"/>
  <c r="P184" i="17" a="1"/>
  <c r="P184" i="17" s="1"/>
  <c r="P194" i="17" a="1"/>
  <c r="P194" i="17"/>
  <c r="P204" i="17" a="1"/>
  <c r="P20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/>
  <c r="P85" i="17" a="1"/>
  <c r="P85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185" i="17" a="1"/>
  <c r="P185" i="17" s="1"/>
  <c r="P195" i="17" a="1"/>
  <c r="P195" i="17" s="1"/>
  <c r="P205" i="17" a="1"/>
  <c r="P20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 s="1"/>
  <c r="P186" i="17" a="1"/>
  <c r="P186" i="17" s="1"/>
  <c r="P196" i="17" a="1"/>
  <c r="P196" i="17"/>
  <c r="P206" i="17" a="1"/>
  <c r="P206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92" i="17" a="1"/>
  <c r="P92" i="17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152" i="17" a="1"/>
  <c r="P152" i="17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187" i="17" a="1"/>
  <c r="P187" i="17" s="1"/>
  <c r="P197" i="17" a="1"/>
  <c r="P197" i="17" s="1"/>
  <c r="P207" i="17" a="1"/>
  <c r="P207" i="17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 s="1"/>
  <c r="P163" i="17" a="1"/>
  <c r="P163" i="17" s="1"/>
  <c r="P188" i="17" a="1"/>
  <c r="P188" i="17" s="1"/>
  <c r="P198" i="17" a="1"/>
  <c r="P198" i="17" s="1"/>
  <c r="P208" i="17" a="1"/>
  <c r="P208" i="17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189" i="17" a="1"/>
  <c r="P189" i="17" s="1"/>
  <c r="P199" i="17" a="1"/>
  <c r="P199" i="17"/>
  <c r="P209" i="17" a="1"/>
  <c r="P209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170" i="17" a="1"/>
  <c r="P170" i="17" s="1"/>
  <c r="P171" i="17" a="1"/>
  <c r="P171" i="17" s="1"/>
  <c r="P172" i="17" a="1"/>
  <c r="P172" i="17" s="1"/>
  <c r="P173" i="17" a="1"/>
  <c r="P173" i="17" s="1"/>
  <c r="P174" i="17" a="1"/>
  <c r="P174" i="17" s="1"/>
  <c r="P175" i="17" a="1"/>
  <c r="P175" i="17" s="1"/>
  <c r="P190" i="17" a="1"/>
  <c r="P190" i="17" s="1"/>
  <c r="P200" i="17" a="1"/>
  <c r="P200" i="17" s="1"/>
  <c r="P210" i="17" a="1"/>
  <c r="P21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176" i="17" a="1"/>
  <c r="P176" i="17" s="1"/>
  <c r="P177" i="17" a="1"/>
  <c r="P177" i="17" s="1"/>
  <c r="P178" i="17" a="1"/>
  <c r="P178" i="17" s="1"/>
  <c r="P179" i="17" a="1"/>
  <c r="P179" i="17" s="1"/>
  <c r="P180" i="17" a="1"/>
  <c r="P180" i="17" s="1"/>
  <c r="P181" i="17" a="1"/>
  <c r="P181" i="17" s="1"/>
  <c r="P191" i="17" a="1"/>
  <c r="P191" i="17"/>
  <c r="P201" i="17" a="1"/>
  <c r="P201" i="17" s="1"/>
  <c r="P211" i="17" a="1"/>
  <c r="P21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182" i="17" a="1"/>
  <c r="R182" i="17" s="1"/>
  <c r="R192" i="17" a="1"/>
  <c r="R192" i="17" s="1"/>
  <c r="R202" i="17" a="1"/>
  <c r="R202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 s="1"/>
  <c r="R183" i="17" a="1"/>
  <c r="R183" i="17" s="1"/>
  <c r="R193" i="17" a="1"/>
  <c r="R193" i="17"/>
  <c r="R203" i="17" a="1"/>
  <c r="R203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184" i="17" a="1"/>
  <c r="R184" i="17" s="1"/>
  <c r="R194" i="17" a="1"/>
  <c r="R194" i="17" s="1"/>
  <c r="R204" i="17" a="1"/>
  <c r="R204" i="17" s="1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185" i="17" a="1"/>
  <c r="R185" i="17" s="1"/>
  <c r="R195" i="17" a="1"/>
  <c r="R195" i="17" s="1"/>
  <c r="R205" i="17" a="1"/>
  <c r="R205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146" i="17" a="1"/>
  <c r="R146" i="17" s="1"/>
  <c r="R147" i="17" a="1"/>
  <c r="R147" i="17" s="1"/>
  <c r="R148" i="17" a="1"/>
  <c r="R148" i="17" s="1"/>
  <c r="R149" i="17" a="1"/>
  <c r="R149" i="17" s="1"/>
  <c r="R150" i="17" a="1"/>
  <c r="R150" i="17" s="1"/>
  <c r="R151" i="17" a="1"/>
  <c r="R151" i="17" s="1"/>
  <c r="R186" i="17" a="1"/>
  <c r="R186" i="17"/>
  <c r="R196" i="17" a="1"/>
  <c r="R196" i="17" s="1"/>
  <c r="R206" i="17" a="1"/>
  <c r="R206" i="17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 s="1"/>
  <c r="R187" i="17" a="1"/>
  <c r="R187" i="17" s="1"/>
  <c r="R197" i="17" a="1"/>
  <c r="R197" i="17" s="1"/>
  <c r="R207" i="17" a="1"/>
  <c r="R207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158" i="17" a="1"/>
  <c r="R158" i="17" s="1"/>
  <c r="R159" i="17" a="1"/>
  <c r="R159" i="17" s="1"/>
  <c r="R160" i="17" a="1"/>
  <c r="R160" i="17" s="1"/>
  <c r="R161" i="17" a="1"/>
  <c r="R161" i="17" s="1"/>
  <c r="R162" i="17" a="1"/>
  <c r="R162" i="17" s="1"/>
  <c r="R163" i="17" a="1"/>
  <c r="R163" i="17" s="1"/>
  <c r="R188" i="17" a="1"/>
  <c r="R188" i="17" s="1"/>
  <c r="R198" i="17" a="1"/>
  <c r="R198" i="17" s="1"/>
  <c r="R208" i="17" a="1"/>
  <c r="R208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 s="1"/>
  <c r="R169" i="17" a="1"/>
  <c r="R169" i="17" s="1"/>
  <c r="R189" i="17" a="1"/>
  <c r="R189" i="17" s="1"/>
  <c r="R199" i="17" a="1"/>
  <c r="R199" i="17" s="1"/>
  <c r="R209" i="17" a="1"/>
  <c r="R209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 s="1"/>
  <c r="R175" i="17" a="1"/>
  <c r="R175" i="17" s="1"/>
  <c r="R190" i="17" a="1"/>
  <c r="R190" i="17" s="1"/>
  <c r="R200" i="17" a="1"/>
  <c r="R200" i="17" s="1"/>
  <c r="R210" i="17" a="1"/>
  <c r="R210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 s="1"/>
  <c r="R191" i="17" a="1"/>
  <c r="R191" i="17" s="1"/>
  <c r="R201" i="17" a="1"/>
  <c r="R201" i="17" s="1"/>
  <c r="R211" i="17" a="1"/>
  <c r="R211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182" i="17" a="1"/>
  <c r="S182" i="17" s="1"/>
  <c r="S192" i="17" a="1"/>
  <c r="S192" i="17" s="1"/>
  <c r="S202" i="17" a="1"/>
  <c r="S202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128" i="17" a="1"/>
  <c r="S128" i="17" s="1"/>
  <c r="S129" i="17" a="1"/>
  <c r="S129" i="17" s="1"/>
  <c r="S130" i="17" a="1"/>
  <c r="S130" i="17" s="1"/>
  <c r="S131" i="17" a="1"/>
  <c r="S131" i="17" s="1"/>
  <c r="S132" i="17" a="1"/>
  <c r="S132" i="17" s="1"/>
  <c r="S133" i="17" a="1"/>
  <c r="S133" i="17" s="1"/>
  <c r="S183" i="17" a="1"/>
  <c r="S183" i="17"/>
  <c r="S193" i="17" a="1"/>
  <c r="S193" i="17" s="1"/>
  <c r="S203" i="17" a="1"/>
  <c r="S203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134" i="17" a="1"/>
  <c r="S134" i="17" s="1"/>
  <c r="S135" i="17" a="1"/>
  <c r="S135" i="17" s="1"/>
  <c r="S136" i="17" a="1"/>
  <c r="S136" i="17" s="1"/>
  <c r="S137" i="17" a="1"/>
  <c r="S137" i="17" s="1"/>
  <c r="S138" i="17" a="1"/>
  <c r="S138" i="17" s="1"/>
  <c r="S139" i="17" a="1"/>
  <c r="S139" i="17" s="1"/>
  <c r="S184" i="17" a="1"/>
  <c r="S184" i="17" s="1"/>
  <c r="S194" i="17" a="1"/>
  <c r="S194" i="17" s="1"/>
  <c r="S204" i="17" a="1"/>
  <c r="S204" i="17" s="1"/>
  <c r="S20" i="17" a="1"/>
  <c r="S20" i="17" s="1"/>
  <c r="S21" i="17" a="1"/>
  <c r="S21" i="17" s="1"/>
  <c r="S22" i="17" a="1"/>
  <c r="S22" i="17" s="1"/>
  <c r="S23" i="17" a="1"/>
  <c r="S23" i="17" s="1"/>
  <c r="S24" i="17" a="1"/>
  <c r="S24" i="17"/>
  <c r="S25" i="17" a="1"/>
  <c r="S25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/>
  <c r="S85" i="17" a="1"/>
  <c r="S85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/>
  <c r="S145" i="17" a="1"/>
  <c r="S145" i="17" s="1"/>
  <c r="S185" i="17" a="1"/>
  <c r="S185" i="17" s="1"/>
  <c r="S195" i="17" a="1"/>
  <c r="S195" i="17" s="1"/>
  <c r="S205" i="17" a="1"/>
  <c r="S205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86" i="17" a="1"/>
  <c r="S86" i="17" s="1"/>
  <c r="S87" i="17" a="1"/>
  <c r="S87" i="17"/>
  <c r="S88" i="17" a="1"/>
  <c r="S88" i="17" s="1"/>
  <c r="S89" i="17" a="1"/>
  <c r="S89" i="17" s="1"/>
  <c r="S90" i="17" a="1"/>
  <c r="S90" i="17" s="1"/>
  <c r="S91" i="17" a="1"/>
  <c r="S91" i="17" s="1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186" i="17" a="1"/>
  <c r="S186" i="17" s="1"/>
  <c r="S196" i="17" a="1"/>
  <c r="S196" i="17" s="1"/>
  <c r="S206" i="17" a="1"/>
  <c r="S206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152" i="17" a="1"/>
  <c r="S152" i="17" s="1"/>
  <c r="S153" i="17" a="1"/>
  <c r="S153" i="17"/>
  <c r="S154" i="17" a="1"/>
  <c r="S154" i="17" s="1"/>
  <c r="S155" i="17" a="1"/>
  <c r="S155" i="17" s="1"/>
  <c r="S156" i="17" a="1"/>
  <c r="S156" i="17" s="1"/>
  <c r="S157" i="17" a="1"/>
  <c r="S157" i="17"/>
  <c r="S187" i="17" a="1"/>
  <c r="S187" i="17" s="1"/>
  <c r="S197" i="17" a="1"/>
  <c r="S197" i="17" s="1"/>
  <c r="S207" i="17" a="1"/>
  <c r="S207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158" i="17" a="1"/>
  <c r="S158" i="17" s="1"/>
  <c r="S159" i="17" a="1"/>
  <c r="S159" i="17"/>
  <c r="S160" i="17" a="1"/>
  <c r="S160" i="17" s="1"/>
  <c r="S161" i="17" a="1"/>
  <c r="S161" i="17" s="1"/>
  <c r="S162" i="17" a="1"/>
  <c r="S162" i="17" s="1"/>
  <c r="S163" i="17" a="1"/>
  <c r="S163" i="17" s="1"/>
  <c r="S188" i="17" a="1"/>
  <c r="S188" i="17" s="1"/>
  <c r="S198" i="17" a="1"/>
  <c r="S198" i="17"/>
  <c r="S208" i="17" a="1"/>
  <c r="S208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 s="1"/>
  <c r="S109" i="17" a="1"/>
  <c r="S109" i="17" s="1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189" i="17" a="1"/>
  <c r="S189" i="17" s="1"/>
  <c r="S199" i="17" a="1"/>
  <c r="S199" i="17" s="1"/>
  <c r="S209" i="17" a="1"/>
  <c r="S209" i="17"/>
  <c r="S50" i="17" a="1"/>
  <c r="S50" i="17" s="1"/>
  <c r="S51" i="17" a="1"/>
  <c r="S51" i="17" s="1"/>
  <c r="S52" i="17" a="1"/>
  <c r="S52" i="17" s="1"/>
  <c r="S53" i="17" a="1"/>
  <c r="S53" i="17"/>
  <c r="S54" i="17" a="1"/>
  <c r="S54" i="17" s="1"/>
  <c r="S55" i="17" a="1"/>
  <c r="S55" i="17" s="1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/>
  <c r="S115" i="17" a="1"/>
  <c r="S115" i="17" s="1"/>
  <c r="S170" i="17" a="1"/>
  <c r="S170" i="17" s="1"/>
  <c r="S171" i="17" a="1"/>
  <c r="S171" i="17" s="1"/>
  <c r="S172" i="17" a="1"/>
  <c r="S172" i="17" s="1"/>
  <c r="S173" i="17" a="1"/>
  <c r="S173" i="17" s="1"/>
  <c r="S174" i="17" a="1"/>
  <c r="S174" i="17" s="1"/>
  <c r="S175" i="17" a="1"/>
  <c r="S175" i="17" s="1"/>
  <c r="S190" i="17" a="1"/>
  <c r="S190" i="17" s="1"/>
  <c r="S200" i="17" a="1"/>
  <c r="S200" i="17" s="1"/>
  <c r="S210" i="17" a="1"/>
  <c r="S210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116" i="17" a="1"/>
  <c r="S116" i="17" s="1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176" i="17" a="1"/>
  <c r="S176" i="17" s="1"/>
  <c r="S177" i="17" a="1"/>
  <c r="S177" i="17" s="1"/>
  <c r="S178" i="17" a="1"/>
  <c r="S178" i="17"/>
  <c r="S179" i="17" a="1"/>
  <c r="S179" i="17" s="1"/>
  <c r="S180" i="17" a="1"/>
  <c r="S180" i="17" s="1"/>
  <c r="S181" i="17" a="1"/>
  <c r="S181" i="17" s="1"/>
  <c r="S191" i="17" a="1"/>
  <c r="S191" i="17" s="1"/>
  <c r="S201" i="17" a="1"/>
  <c r="S201" i="17" s="1"/>
  <c r="S211" i="17" a="1"/>
  <c r="S211" i="17" s="1"/>
  <c r="T2" i="17" a="1"/>
  <c r="T2" i="17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122" i="17" a="1"/>
  <c r="T122" i="17" s="1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 s="1"/>
  <c r="T182" i="17" a="1"/>
  <c r="T182" i="17" s="1"/>
  <c r="T192" i="17" a="1"/>
  <c r="T192" i="17" s="1"/>
  <c r="T202" i="17" a="1"/>
  <c r="T202" i="17" s="1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 s="1"/>
  <c r="T133" i="17" a="1"/>
  <c r="T133" i="17" s="1"/>
  <c r="T183" i="17" a="1"/>
  <c r="T183" i="17" s="1"/>
  <c r="T193" i="17" a="1"/>
  <c r="T193" i="17" s="1"/>
  <c r="T203" i="17" a="1"/>
  <c r="T203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/>
  <c r="T134" i="17" a="1"/>
  <c r="T134" i="17" s="1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184" i="17" a="1"/>
  <c r="T184" i="17" s="1"/>
  <c r="T194" i="17" a="1"/>
  <c r="T194" i="17" s="1"/>
  <c r="T204" i="17" a="1"/>
  <c r="T204" i="17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T185" i="17" a="1"/>
  <c r="T185" i="17" s="1"/>
  <c r="T195" i="17" a="1"/>
  <c r="T195" i="17" s="1"/>
  <c r="T205" i="17" a="1"/>
  <c r="T205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186" i="17" a="1"/>
  <c r="T186" i="17" s="1"/>
  <c r="T196" i="17" a="1"/>
  <c r="T196" i="17" s="1"/>
  <c r="T206" i="17" a="1"/>
  <c r="T206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187" i="17" a="1"/>
  <c r="T187" i="17" s="1"/>
  <c r="T197" i="17" a="1"/>
  <c r="T197" i="17" s="1"/>
  <c r="T207" i="17" a="1"/>
  <c r="T207" i="17" s="1"/>
  <c r="T38" i="17" a="1"/>
  <c r="T38" i="17" s="1"/>
  <c r="T39" i="17" a="1"/>
  <c r="T39" i="17" s="1"/>
  <c r="T40" i="17" a="1"/>
  <c r="T40" i="17"/>
  <c r="T41" i="17" a="1"/>
  <c r="T41" i="17" s="1"/>
  <c r="T42" i="17" a="1"/>
  <c r="T42" i="17"/>
  <c r="T43" i="17" a="1"/>
  <c r="T43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/>
  <c r="T158" i="17" a="1"/>
  <c r="T158" i="17" s="1"/>
  <c r="T159" i="17" a="1"/>
  <c r="T159" i="17" s="1"/>
  <c r="T160" i="17" a="1"/>
  <c r="T160" i="17" s="1"/>
  <c r="T161" i="17" a="1"/>
  <c r="T161" i="17" s="1"/>
  <c r="T162" i="17" a="1"/>
  <c r="T162" i="17" s="1"/>
  <c r="T163" i="17" a="1"/>
  <c r="T163" i="17" s="1"/>
  <c r="T188" i="17" a="1"/>
  <c r="T188" i="17" s="1"/>
  <c r="T198" i="17" a="1"/>
  <c r="T198" i="17" s="1"/>
  <c r="T208" i="17" a="1"/>
  <c r="T208" i="17"/>
  <c r="T44" i="17" a="1"/>
  <c r="T44" i="17" s="1"/>
  <c r="T45" i="17" a="1"/>
  <c r="T45" i="17" s="1"/>
  <c r="T46" i="17" a="1"/>
  <c r="T46" i="17" s="1"/>
  <c r="T47" i="17" a="1"/>
  <c r="T47" i="17"/>
  <c r="T48" i="17" a="1"/>
  <c r="T48" i="17" s="1"/>
  <c r="T49" i="17" a="1"/>
  <c r="T49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164" i="17" a="1"/>
  <c r="T164" i="17" s="1"/>
  <c r="T165" i="17" a="1"/>
  <c r="T165" i="17"/>
  <c r="T166" i="17" a="1"/>
  <c r="T166" i="17" s="1"/>
  <c r="T167" i="17" a="1"/>
  <c r="T167" i="17" s="1"/>
  <c r="T168" i="17" a="1"/>
  <c r="T168" i="17" s="1"/>
  <c r="T169" i="17" a="1"/>
  <c r="T169" i="17" s="1"/>
  <c r="T189" i="17" a="1"/>
  <c r="T189" i="17" s="1"/>
  <c r="T199" i="17" a="1"/>
  <c r="T199" i="17" s="1"/>
  <c r="T209" i="17" a="1"/>
  <c r="T209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/>
  <c r="T55" i="17" a="1"/>
  <c r="T55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170" i="17" a="1"/>
  <c r="T170" i="17" s="1"/>
  <c r="T171" i="17" a="1"/>
  <c r="T171" i="17"/>
  <c r="T172" i="17" a="1"/>
  <c r="T172" i="17" s="1"/>
  <c r="T173" i="17" a="1"/>
  <c r="T173" i="17" s="1"/>
  <c r="T174" i="17" a="1"/>
  <c r="T174" i="17" s="1"/>
  <c r="T175" i="17" a="1"/>
  <c r="T175" i="17"/>
  <c r="T190" i="17" a="1"/>
  <c r="T190" i="17" s="1"/>
  <c r="T200" i="17" a="1"/>
  <c r="T200" i="17" s="1"/>
  <c r="T210" i="17" a="1"/>
  <c r="T210" i="17" s="1"/>
  <c r="T56" i="17" a="1"/>
  <c r="T56" i="17" s="1"/>
  <c r="T57" i="17" a="1"/>
  <c r="T57" i="17"/>
  <c r="T58" i="17" a="1"/>
  <c r="T58" i="17" s="1"/>
  <c r="T59" i="17" a="1"/>
  <c r="T59" i="17" s="1"/>
  <c r="T60" i="17" a="1"/>
  <c r="T60" i="17" s="1"/>
  <c r="T61" i="17" a="1"/>
  <c r="T61" i="17" s="1"/>
  <c r="T116" i="17" a="1"/>
  <c r="T116" i="17" s="1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176" i="17" a="1"/>
  <c r="T176" i="17"/>
  <c r="T177" i="17" a="1"/>
  <c r="T177" i="17" s="1"/>
  <c r="T178" i="17" a="1"/>
  <c r="T178" i="17" s="1"/>
  <c r="T179" i="17" a="1"/>
  <c r="T179" i="17" s="1"/>
  <c r="T180" i="17" a="1"/>
  <c r="T180" i="17" s="1"/>
  <c r="T181" i="17" a="1"/>
  <c r="T181" i="17" s="1"/>
  <c r="T191" i="17" a="1"/>
  <c r="T191" i="17" s="1"/>
  <c r="T201" i="17" a="1"/>
  <c r="T201" i="17"/>
  <c r="T211" i="17" a="1"/>
  <c r="T211" i="17" s="1"/>
  <c r="U2" i="17" a="1"/>
  <c r="U2" i="17" s="1"/>
  <c r="U3" i="17" a="1"/>
  <c r="U3" i="17" s="1"/>
  <c r="U4" i="17" a="1"/>
  <c r="U4" i="17" s="1"/>
  <c r="U5" i="17" a="1"/>
  <c r="U5" i="17" s="1"/>
  <c r="U6" i="17" a="1"/>
  <c r="U6" i="17"/>
  <c r="U7" i="17" a="1"/>
  <c r="U7" i="17" s="1"/>
  <c r="U62" i="17" a="1"/>
  <c r="U62" i="17" s="1"/>
  <c r="U63" i="17" a="1"/>
  <c r="U63" i="17"/>
  <c r="U64" i="17" a="1"/>
  <c r="U64" i="17" s="1"/>
  <c r="U65" i="17" a="1"/>
  <c r="U65" i="17" s="1"/>
  <c r="U66" i="17" a="1"/>
  <c r="U66" i="17" s="1"/>
  <c r="U67" i="17" a="1"/>
  <c r="U67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/>
  <c r="U127" i="17" a="1"/>
  <c r="U127" i="17"/>
  <c r="U182" i="17" a="1"/>
  <c r="U182" i="17" s="1"/>
  <c r="U192" i="17" a="1"/>
  <c r="U192" i="17" s="1"/>
  <c r="U202" i="17" a="1"/>
  <c r="U202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/>
  <c r="U13" i="17" a="1"/>
  <c r="U13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128" i="17" a="1"/>
  <c r="U128" i="17" s="1"/>
  <c r="U129" i="17" a="1"/>
  <c r="U129" i="17" s="1"/>
  <c r="U130" i="17" a="1"/>
  <c r="U130" i="17" s="1"/>
  <c r="U131" i="17" a="1"/>
  <c r="U131" i="17" s="1"/>
  <c r="U132" i="17" a="1"/>
  <c r="U132" i="17" s="1"/>
  <c r="U133" i="17" a="1"/>
  <c r="U133" i="17" s="1"/>
  <c r="U183" i="17" a="1"/>
  <c r="U183" i="17"/>
  <c r="U193" i="17" a="1"/>
  <c r="U193" i="17" s="1"/>
  <c r="U203" i="17" a="1"/>
  <c r="U203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 s="1"/>
  <c r="U139" i="17" a="1"/>
  <c r="U139" i="17" s="1"/>
  <c r="U184" i="17" a="1"/>
  <c r="U184" i="17" s="1"/>
  <c r="U194" i="17" a="1"/>
  <c r="U194" i="17" s="1"/>
  <c r="U204" i="17" a="1"/>
  <c r="U204" i="17" s="1"/>
  <c r="U20" i="17" a="1"/>
  <c r="U20" i="17" s="1"/>
  <c r="U21" i="17" a="1"/>
  <c r="U21" i="17" s="1"/>
  <c r="U22" i="17" a="1"/>
  <c r="U22" i="17"/>
  <c r="U23" i="17" a="1"/>
  <c r="U23" i="17" s="1"/>
  <c r="U24" i="17" a="1"/>
  <c r="U24" i="17" s="1"/>
  <c r="U25" i="17" a="1"/>
  <c r="U25" i="17" s="1"/>
  <c r="U80" i="17" a="1"/>
  <c r="U80" i="17" s="1"/>
  <c r="U81" i="17" a="1"/>
  <c r="U81" i="17" s="1"/>
  <c r="U82" i="17" a="1"/>
  <c r="U82" i="17" s="1"/>
  <c r="U83" i="17" a="1"/>
  <c r="U83" i="17"/>
  <c r="U84" i="17" a="1"/>
  <c r="U84" i="17" s="1"/>
  <c r="U85" i="17" a="1"/>
  <c r="U85" i="17" s="1"/>
  <c r="U140" i="17" a="1"/>
  <c r="U140" i="17" s="1"/>
  <c r="U141" i="17" a="1"/>
  <c r="U141" i="17" s="1"/>
  <c r="U142" i="17" a="1"/>
  <c r="U142" i="17" s="1"/>
  <c r="U143" i="17" a="1"/>
  <c r="U143" i="17" s="1"/>
  <c r="U144" i="17" a="1"/>
  <c r="U144" i="17" s="1"/>
  <c r="U145" i="17" a="1"/>
  <c r="U145" i="17" s="1"/>
  <c r="U185" i="17" a="1"/>
  <c r="U185" i="17"/>
  <c r="U195" i="17" a="1"/>
  <c r="U195" i="17" s="1"/>
  <c r="U205" i="17" a="1"/>
  <c r="U205" i="17" s="1"/>
  <c r="U26" i="17" a="1"/>
  <c r="U26" i="17" s="1"/>
  <c r="U27" i="17" a="1"/>
  <c r="U27" i="17" s="1"/>
  <c r="U28" i="17" a="1"/>
  <c r="U28" i="17" s="1"/>
  <c r="U29" i="17" a="1"/>
  <c r="U29" i="17" s="1"/>
  <c r="U30" i="17" a="1"/>
  <c r="U30" i="17"/>
  <c r="U31" i="17" a="1"/>
  <c r="U31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146" i="17" a="1"/>
  <c r="U146" i="17" s="1"/>
  <c r="U147" i="17" a="1"/>
  <c r="U147" i="17"/>
  <c r="U148" i="17" a="1"/>
  <c r="U148" i="17" s="1"/>
  <c r="U149" i="17" a="1"/>
  <c r="U149" i="17" s="1"/>
  <c r="U150" i="17" a="1"/>
  <c r="U150" i="17" s="1"/>
  <c r="U151" i="17" a="1"/>
  <c r="U151" i="17" s="1"/>
  <c r="U186" i="17" a="1"/>
  <c r="U186" i="17" s="1"/>
  <c r="U196" i="17" a="1"/>
  <c r="U196" i="17" s="1"/>
  <c r="U206" i="17" a="1"/>
  <c r="U206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152" i="17" a="1"/>
  <c r="U152" i="17" s="1"/>
  <c r="U153" i="17" a="1"/>
  <c r="U153" i="17" s="1"/>
  <c r="U154" i="17" a="1"/>
  <c r="U154" i="17" s="1"/>
  <c r="U155" i="17" a="1"/>
  <c r="U155" i="17" s="1"/>
  <c r="U156" i="17" a="1"/>
  <c r="U156" i="17"/>
  <c r="U157" i="17" a="1"/>
  <c r="U157" i="17" s="1"/>
  <c r="U187" i="17" a="1"/>
  <c r="U187" i="17" s="1"/>
  <c r="U197" i="17" a="1"/>
  <c r="U197" i="17" s="1"/>
  <c r="U207" i="17" a="1"/>
  <c r="U207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/>
  <c r="U103" i="17" a="1"/>
  <c r="U103" i="17" s="1"/>
  <c r="U158" i="17" a="1"/>
  <c r="U158" i="17" s="1"/>
  <c r="U159" i="17" a="1"/>
  <c r="U159" i="17" s="1"/>
  <c r="U160" i="17" a="1"/>
  <c r="U160" i="17" s="1"/>
  <c r="U161" i="17" a="1"/>
  <c r="U161" i="17" s="1"/>
  <c r="U162" i="17" a="1"/>
  <c r="U162" i="17" s="1"/>
  <c r="U163" i="17" a="1"/>
  <c r="U163" i="17"/>
  <c r="U188" i="17" a="1"/>
  <c r="U188" i="17" s="1"/>
  <c r="U198" i="17" a="1"/>
  <c r="U198" i="17" s="1"/>
  <c r="U208" i="17" a="1"/>
  <c r="U208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104" i="17" a="1"/>
  <c r="U104" i="17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164" i="17" a="1"/>
  <c r="U164" i="17" s="1"/>
  <c r="U165" i="17" a="1"/>
  <c r="U165" i="17" s="1"/>
  <c r="U166" i="17" a="1"/>
  <c r="U166" i="17" s="1"/>
  <c r="U167" i="17" a="1"/>
  <c r="U167" i="17" s="1"/>
  <c r="U168" i="17" a="1"/>
  <c r="U168" i="17" s="1"/>
  <c r="U169" i="17" a="1"/>
  <c r="U169" i="17" s="1"/>
  <c r="U189" i="17" a="1"/>
  <c r="U189" i="17" s="1"/>
  <c r="U199" i="17" a="1"/>
  <c r="U199" i="17" s="1"/>
  <c r="U209" i="17" a="1"/>
  <c r="U209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 s="1"/>
  <c r="U115" i="17" a="1"/>
  <c r="U115" i="17" s="1"/>
  <c r="U170" i="17" a="1"/>
  <c r="U170" i="17" s="1"/>
  <c r="U171" i="17" a="1"/>
  <c r="U171" i="17" s="1"/>
  <c r="U172" i="17" a="1"/>
  <c r="U172" i="17" s="1"/>
  <c r="U173" i="17" a="1"/>
  <c r="U173" i="17" s="1"/>
  <c r="U174" i="17" a="1"/>
  <c r="U174" i="17" s="1"/>
  <c r="U175" i="17" a="1"/>
  <c r="U175" i="17" s="1"/>
  <c r="U190" i="17" a="1"/>
  <c r="U190" i="17" s="1"/>
  <c r="U200" i="17" a="1"/>
  <c r="U200" i="17" s="1"/>
  <c r="U210" i="17" a="1"/>
  <c r="U210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/>
  <c r="U121" i="17" a="1"/>
  <c r="U121" i="17"/>
  <c r="U176" i="17" a="1"/>
  <c r="U176" i="17" s="1"/>
  <c r="U177" i="17" a="1"/>
  <c r="U177" i="17" s="1"/>
  <c r="U178" i="17" a="1"/>
  <c r="U178" i="17" s="1"/>
  <c r="U179" i="17" a="1"/>
  <c r="U179" i="17" s="1"/>
  <c r="U180" i="17" a="1"/>
  <c r="U180" i="17" s="1"/>
  <c r="U181" i="17" a="1"/>
  <c r="U181" i="17" s="1"/>
  <c r="U191" i="17" a="1"/>
  <c r="U191" i="17" s="1"/>
  <c r="U201" i="17" a="1"/>
  <c r="U201" i="17" s="1"/>
  <c r="U211" i="17" a="1"/>
  <c r="U211" i="17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62" i="17" a="1"/>
  <c r="V62" i="17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122" i="17" a="1"/>
  <c r="V122" i="17" s="1"/>
  <c r="V123" i="17" a="1"/>
  <c r="V123" i="17" s="1"/>
  <c r="V124" i="17" a="1"/>
  <c r="V124" i="17" s="1"/>
  <c r="V125" i="17" a="1"/>
  <c r="V125" i="17" s="1"/>
  <c r="V126" i="17" a="1"/>
  <c r="V126" i="17" s="1"/>
  <c r="V127" i="17" a="1"/>
  <c r="V127" i="17" s="1"/>
  <c r="V182" i="17" a="1"/>
  <c r="V182" i="17" s="1"/>
  <c r="V192" i="17" a="1"/>
  <c r="V192" i="17" s="1"/>
  <c r="V202" i="17" a="1"/>
  <c r="V202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68" i="17" a="1"/>
  <c r="V68" i="17" s="1"/>
  <c r="V69" i="17" a="1"/>
  <c r="V69" i="17" s="1"/>
  <c r="V70" i="17" a="1"/>
  <c r="V70" i="17" s="1"/>
  <c r="V71" i="17" a="1"/>
  <c r="V71" i="17"/>
  <c r="V72" i="17" a="1"/>
  <c r="V72" i="17" s="1"/>
  <c r="V73" i="17" a="1"/>
  <c r="V73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183" i="17" a="1"/>
  <c r="V183" i="17" s="1"/>
  <c r="V193" i="17" a="1"/>
  <c r="V193" i="17" s="1"/>
  <c r="V203" i="17" a="1"/>
  <c r="V203" i="17" s="1"/>
  <c r="V14" i="17" a="1"/>
  <c r="V14" i="17" s="1"/>
  <c r="V15" i="17" a="1"/>
  <c r="V15" i="17" s="1"/>
  <c r="V16" i="17" a="1"/>
  <c r="V16" i="17" s="1"/>
  <c r="V17" i="17" a="1"/>
  <c r="V17" i="17"/>
  <c r="V18" i="17" a="1"/>
  <c r="V18" i="17" s="1"/>
  <c r="V19" i="17" a="1"/>
  <c r="V19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184" i="17" a="1"/>
  <c r="V184" i="17" s="1"/>
  <c r="V194" i="17" a="1"/>
  <c r="V194" i="17" s="1"/>
  <c r="V204" i="17" a="1"/>
  <c r="V204" i="17" s="1"/>
  <c r="V20" i="17" a="1"/>
  <c r="V20" i="17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V185" i="17" a="1"/>
  <c r="V185" i="17" s="1"/>
  <c r="V195" i="17" a="1"/>
  <c r="V195" i="17" s="1"/>
  <c r="V205" i="17" a="1"/>
  <c r="V205" i="17" s="1"/>
  <c r="V26" i="17" a="1"/>
  <c r="V26" i="17" s="1"/>
  <c r="V27" i="17" a="1"/>
  <c r="V27" i="17"/>
  <c r="V28" i="17" a="1"/>
  <c r="V28" i="17"/>
  <c r="V29" i="17" a="1"/>
  <c r="V29" i="17" s="1"/>
  <c r="V30" i="17" a="1"/>
  <c r="V30" i="17" s="1"/>
  <c r="V31" i="17" a="1"/>
  <c r="V31" i="17" s="1"/>
  <c r="V86" i="17" a="1"/>
  <c r="V86" i="17" s="1"/>
  <c r="V87" i="17" a="1"/>
  <c r="V87" i="17" s="1"/>
  <c r="V88" i="17" a="1"/>
  <c r="V88" i="17" s="1"/>
  <c r="V89" i="17" a="1"/>
  <c r="V89" i="17"/>
  <c r="V90" i="17" a="1"/>
  <c r="V90" i="17" s="1"/>
  <c r="V91" i="17" a="1"/>
  <c r="V91" i="17" s="1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186" i="17" a="1"/>
  <c r="V186" i="17" s="1"/>
  <c r="V196" i="17" a="1"/>
  <c r="V196" i="17" s="1"/>
  <c r="V206" i="17" a="1"/>
  <c r="V206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/>
  <c r="V37" i="17" a="1"/>
  <c r="V37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152" i="17" a="1"/>
  <c r="V152" i="17" s="1"/>
  <c r="V153" i="17" a="1"/>
  <c r="V153" i="17" s="1"/>
  <c r="V154" i="17" a="1"/>
  <c r="V154" i="17" s="1"/>
  <c r="V155" i="17" a="1"/>
  <c r="V155" i="17" s="1"/>
  <c r="V156" i="17" a="1"/>
  <c r="V156" i="17" s="1"/>
  <c r="V157" i="17" a="1"/>
  <c r="V157" i="17" s="1"/>
  <c r="V187" i="17" a="1"/>
  <c r="V187" i="17" s="1"/>
  <c r="V197" i="17" a="1"/>
  <c r="V197" i="17" s="1"/>
  <c r="V207" i="17" a="1"/>
  <c r="V207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/>
  <c r="V188" i="17" a="1"/>
  <c r="V188" i="17" s="1"/>
  <c r="V198" i="17" a="1"/>
  <c r="V198" i="17" s="1"/>
  <c r="V208" i="17" a="1"/>
  <c r="V208" i="17" s="1"/>
  <c r="V44" i="17" a="1"/>
  <c r="V44" i="17" s="1"/>
  <c r="V45" i="17" a="1"/>
  <c r="V45" i="17" s="1"/>
  <c r="V46" i="17" a="1"/>
  <c r="V46" i="17"/>
  <c r="V47" i="17" a="1"/>
  <c r="V47" i="17" s="1"/>
  <c r="V48" i="17" a="1"/>
  <c r="V48" i="17" s="1"/>
  <c r="V49" i="17" a="1"/>
  <c r="V49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164" i="17" a="1"/>
  <c r="V164" i="17" s="1"/>
  <c r="V165" i="17" a="1"/>
  <c r="V165" i="17" s="1"/>
  <c r="V166" i="17" a="1"/>
  <c r="V166" i="17" s="1"/>
  <c r="V167" i="17" a="1"/>
  <c r="V167" i="17" s="1"/>
  <c r="V168" i="17" a="1"/>
  <c r="V168" i="17" s="1"/>
  <c r="V169" i="17" a="1"/>
  <c r="V169" i="17" s="1"/>
  <c r="V189" i="17" a="1"/>
  <c r="V189" i="17" s="1"/>
  <c r="V199" i="17" a="1"/>
  <c r="V199" i="17" s="1"/>
  <c r="V209" i="17" a="1"/>
  <c r="V209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170" i="17" a="1"/>
  <c r="V170" i="17" s="1"/>
  <c r="V171" i="17" a="1"/>
  <c r="V171" i="17"/>
  <c r="V172" i="17" a="1"/>
  <c r="V172" i="17"/>
  <c r="V173" i="17" a="1"/>
  <c r="V173" i="17" s="1"/>
  <c r="V174" i="17" a="1"/>
  <c r="V174" i="17" s="1"/>
  <c r="V175" i="17" a="1"/>
  <c r="V175" i="17" s="1"/>
  <c r="V190" i="17" a="1"/>
  <c r="V190" i="17" s="1"/>
  <c r="V200" i="17" a="1"/>
  <c r="V200" i="17" s="1"/>
  <c r="V210" i="17" a="1"/>
  <c r="V210" i="17" s="1"/>
  <c r="V56" i="17" a="1"/>
  <c r="V56" i="17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176" i="17" a="1"/>
  <c r="V176" i="17" s="1"/>
  <c r="V177" i="17" a="1"/>
  <c r="V177" i="17" s="1"/>
  <c r="V178" i="17" a="1"/>
  <c r="V178" i="17" s="1"/>
  <c r="V179" i="17" a="1"/>
  <c r="V179" i="17" s="1"/>
  <c r="V180" i="17" a="1"/>
  <c r="V180" i="17"/>
  <c r="V181" i="17" a="1"/>
  <c r="V181" i="17" s="1"/>
  <c r="V191" i="17" a="1"/>
  <c r="V191" i="17" s="1"/>
  <c r="V201" i="17" a="1"/>
  <c r="V201" i="17" s="1"/>
  <c r="V211" i="17" a="1"/>
  <c r="V211" i="17" s="1"/>
  <c r="X2" i="17" a="1"/>
  <c r="X2" i="17" s="1"/>
  <c r="X3" i="17" a="1"/>
  <c r="X3" i="17" s="1"/>
  <c r="X4" i="17" a="1"/>
  <c r="X4" i="17"/>
  <c r="X5" i="17" a="1"/>
  <c r="X5" i="17" s="1"/>
  <c r="X6" i="17" a="1"/>
  <c r="X6" i="17" s="1"/>
  <c r="X7" i="17" a="1"/>
  <c r="X7" i="17" s="1"/>
  <c r="X62" i="17" a="1"/>
  <c r="X62" i="17" s="1"/>
  <c r="X63" i="17" a="1"/>
  <c r="X63" i="17" s="1"/>
  <c r="X64" i="17" a="1"/>
  <c r="X64" i="17" s="1"/>
  <c r="X65" i="17" a="1"/>
  <c r="X65" i="17" s="1"/>
  <c r="X66" i="17" a="1"/>
  <c r="X66" i="17" s="1"/>
  <c r="X67" i="17" a="1"/>
  <c r="X67" i="17" s="1"/>
  <c r="Y67" i="17" s="1"/>
  <c r="Q67" i="17" s="1"/>
  <c r="W67" i="17" s="1"/>
  <c r="X122" i="17" a="1"/>
  <c r="X122" i="17" s="1"/>
  <c r="X123" i="17" a="1"/>
  <c r="X123" i="17" s="1"/>
  <c r="X124" i="17" a="1"/>
  <c r="X124" i="17" s="1"/>
  <c r="X125" i="17" a="1"/>
  <c r="X125" i="17" s="1"/>
  <c r="Y125" i="17" s="1"/>
  <c r="Q125" i="17" s="1"/>
  <c r="W125" i="17" s="1"/>
  <c r="X126" i="17" a="1"/>
  <c r="X126" i="17" s="1"/>
  <c r="X127" i="17" a="1"/>
  <c r="X127" i="17" s="1"/>
  <c r="X182" i="17" a="1"/>
  <c r="X182" i="17" s="1"/>
  <c r="X192" i="17" a="1"/>
  <c r="X192" i="17" s="1"/>
  <c r="X202" i="17" a="1"/>
  <c r="X202" i="17"/>
  <c r="X8" i="17" a="1"/>
  <c r="X8" i="17" s="1"/>
  <c r="X9" i="17" a="1"/>
  <c r="X9" i="17" s="1"/>
  <c r="X10" i="17" a="1"/>
  <c r="X10" i="17" s="1"/>
  <c r="X11" i="17" a="1"/>
  <c r="X11" i="17" s="1"/>
  <c r="X12" i="17" a="1"/>
  <c r="X12" i="17" s="1"/>
  <c r="X13" i="17" a="1"/>
  <c r="X13" i="17"/>
  <c r="X68" i="17" a="1"/>
  <c r="X68" i="17" s="1"/>
  <c r="Y68" i="17" s="1"/>
  <c r="X69" i="17" a="1"/>
  <c r="X69" i="17" s="1"/>
  <c r="X70" i="17" a="1"/>
  <c r="X70" i="17" s="1"/>
  <c r="X71" i="17" a="1"/>
  <c r="X71" i="17" s="1"/>
  <c r="X72" i="17" a="1"/>
  <c r="X72" i="17" s="1"/>
  <c r="X73" i="17" a="1"/>
  <c r="X73" i="17" s="1"/>
  <c r="X128" i="17" a="1"/>
  <c r="X128" i="17" s="1"/>
  <c r="X129" i="17" a="1"/>
  <c r="X129" i="17" s="1"/>
  <c r="Y129" i="17" s="1"/>
  <c r="Q129" i="17" s="1"/>
  <c r="W129" i="17" s="1"/>
  <c r="X130" i="17" a="1"/>
  <c r="X130" i="17" s="1"/>
  <c r="X131" i="17" a="1"/>
  <c r="X131" i="17"/>
  <c r="X132" i="17" a="1"/>
  <c r="X132" i="17" s="1"/>
  <c r="X133" i="17" a="1"/>
  <c r="X133" i="17" s="1"/>
  <c r="X183" i="17" a="1"/>
  <c r="X183" i="17" s="1"/>
  <c r="X193" i="17" a="1"/>
  <c r="X193" i="17" s="1"/>
  <c r="X203" i="17" a="1"/>
  <c r="X203" i="17" s="1"/>
  <c r="X14" i="17" a="1"/>
  <c r="X14" i="17" s="1"/>
  <c r="X15" i="17" a="1"/>
  <c r="X15" i="17" s="1"/>
  <c r="Y15" i="17" s="1"/>
  <c r="Q15" i="17" s="1"/>
  <c r="W15" i="17" s="1"/>
  <c r="X16" i="17" a="1"/>
  <c r="X16" i="17"/>
  <c r="X17" i="17" a="1"/>
  <c r="X17" i="17" s="1"/>
  <c r="X18" i="17" a="1"/>
  <c r="X18" i="17" s="1"/>
  <c r="X19" i="17" a="1"/>
  <c r="X19" i="17" s="1"/>
  <c r="X74" i="17" a="1"/>
  <c r="X74" i="17" s="1"/>
  <c r="X75" i="17" a="1"/>
  <c r="X75" i="17" s="1"/>
  <c r="X76" i="17" a="1"/>
  <c r="X76" i="17" s="1"/>
  <c r="X77" i="17" a="1"/>
  <c r="X77" i="17" s="1"/>
  <c r="X78" i="17" a="1"/>
  <c r="X78" i="17" s="1"/>
  <c r="Y78" i="17" s="1"/>
  <c r="Q78" i="17" s="1"/>
  <c r="W78" i="17" s="1"/>
  <c r="X79" i="17" a="1"/>
  <c r="X79" i="17" s="1"/>
  <c r="X134" i="17" a="1"/>
  <c r="X134" i="17" s="1"/>
  <c r="X135" i="17" a="1"/>
  <c r="X135" i="17" s="1"/>
  <c r="X136" i="17" a="1"/>
  <c r="X136" i="17" s="1"/>
  <c r="X137" i="17" a="1"/>
  <c r="X137" i="17" s="1"/>
  <c r="X138" i="17" a="1"/>
  <c r="X138" i="17" s="1"/>
  <c r="X139" i="17" a="1"/>
  <c r="X139" i="17" s="1"/>
  <c r="Y139" i="17" s="1"/>
  <c r="X184" i="17" a="1"/>
  <c r="X184" i="17" s="1"/>
  <c r="X194" i="17" a="1"/>
  <c r="X194" i="17" s="1"/>
  <c r="X204" i="17" a="1"/>
  <c r="X204" i="17" s="1"/>
  <c r="X20" i="17" a="1"/>
  <c r="X20" i="17" s="1"/>
  <c r="X21" i="17" a="1"/>
  <c r="X21" i="17" s="1"/>
  <c r="X22" i="17" a="1"/>
  <c r="X22" i="17" s="1"/>
  <c r="X23" i="17" a="1"/>
  <c r="X23" i="17" s="1"/>
  <c r="X24" i="17" a="1"/>
  <c r="X24" i="17" s="1"/>
  <c r="Y24" i="17" s="1"/>
  <c r="Q24" i="17" s="1"/>
  <c r="W24" i="17" s="1"/>
  <c r="X25" i="17" a="1"/>
  <c r="X25" i="17" s="1"/>
  <c r="X80" i="17" a="1"/>
  <c r="X80" i="17" s="1"/>
  <c r="X81" i="17" a="1"/>
  <c r="X81" i="17" s="1"/>
  <c r="X82" i="17" a="1"/>
  <c r="X82" i="17" s="1"/>
  <c r="X83" i="17" a="1"/>
  <c r="X83" i="17" s="1"/>
  <c r="X84" i="17" a="1"/>
  <c r="X84" i="17" s="1"/>
  <c r="X85" i="17" a="1"/>
  <c r="X85" i="17" s="1"/>
  <c r="X140" i="17" a="1"/>
  <c r="X140" i="17" s="1"/>
  <c r="Y140" i="17" s="1"/>
  <c r="Q140" i="17" s="1"/>
  <c r="W140" i="17" s="1"/>
  <c r="X141" i="17" a="1"/>
  <c r="X141" i="17" s="1"/>
  <c r="X142" i="17" a="1"/>
  <c r="X142" i="17" s="1"/>
  <c r="X143" i="17" a="1"/>
  <c r="X143" i="17" s="1"/>
  <c r="X144" i="17" a="1"/>
  <c r="X144" i="17" s="1"/>
  <c r="Y144" i="17" s="1"/>
  <c r="Q144" i="17" s="1"/>
  <c r="W144" i="17" s="1"/>
  <c r="X145" i="17" a="1"/>
  <c r="X145" i="17" s="1"/>
  <c r="X185" i="17" a="1"/>
  <c r="X185" i="17" s="1"/>
  <c r="X195" i="17" a="1"/>
  <c r="X195" i="17" s="1"/>
  <c r="X205" i="17" a="1"/>
  <c r="X205" i="17" s="1"/>
  <c r="X26" i="17" a="1"/>
  <c r="X26" i="17" s="1"/>
  <c r="X27" i="17" a="1"/>
  <c r="X27" i="17" s="1"/>
  <c r="X28" i="17" a="1"/>
  <c r="X28" i="17" s="1"/>
  <c r="X29" i="17" a="1"/>
  <c r="X29" i="17" s="1"/>
  <c r="X30" i="17" a="1"/>
  <c r="X30" i="17" s="1"/>
  <c r="X31" i="17" a="1"/>
  <c r="X31" i="17" s="1"/>
  <c r="X86" i="17" a="1"/>
  <c r="X86" i="17" s="1"/>
  <c r="X87" i="17" a="1"/>
  <c r="X87" i="17" s="1"/>
  <c r="Y87" i="17" s="1"/>
  <c r="X88" i="17" a="1"/>
  <c r="X88" i="17" s="1"/>
  <c r="X89" i="17" a="1"/>
  <c r="X89" i="17" s="1"/>
  <c r="X90" i="17" a="1"/>
  <c r="X90" i="17" s="1"/>
  <c r="X91" i="17" a="1"/>
  <c r="X91" i="17"/>
  <c r="Y91" i="17" s="1"/>
  <c r="Q91" i="17" s="1"/>
  <c r="W91" i="17" s="1"/>
  <c r="X146" i="17" a="1"/>
  <c r="X146" i="17" s="1"/>
  <c r="X147" i="17" a="1"/>
  <c r="X147" i="17" s="1"/>
  <c r="X148" i="17" a="1"/>
  <c r="X148" i="17" s="1"/>
  <c r="X149" i="17" a="1"/>
  <c r="X149" i="17" s="1"/>
  <c r="Y149" i="17" s="1"/>
  <c r="Q149" i="17" s="1"/>
  <c r="W149" i="17" s="1"/>
  <c r="X150" i="17" a="1"/>
  <c r="X150" i="17" s="1"/>
  <c r="X151" i="17" a="1"/>
  <c r="X151" i="17" s="1"/>
  <c r="X186" i="17" a="1"/>
  <c r="X186" i="17" s="1"/>
  <c r="X196" i="17" a="1"/>
  <c r="X196" i="17" s="1"/>
  <c r="Y196" i="17" s="1"/>
  <c r="X206" i="17" a="1"/>
  <c r="X206" i="17" s="1"/>
  <c r="X32" i="17" a="1"/>
  <c r="X32" i="17" s="1"/>
  <c r="X33" i="17" a="1"/>
  <c r="X33" i="17" s="1"/>
  <c r="X34" i="17" a="1"/>
  <c r="X34" i="17" s="1"/>
  <c r="Y34" i="17" s="1"/>
  <c r="Q34" i="17" s="1"/>
  <c r="W34" i="17" s="1"/>
  <c r="X35" i="17" a="1"/>
  <c r="X35" i="17" s="1"/>
  <c r="X36" i="17" a="1"/>
  <c r="X36" i="17" s="1"/>
  <c r="X37" i="17" a="1"/>
  <c r="X37" i="17" s="1"/>
  <c r="X92" i="17" a="1"/>
  <c r="X92" i="17" s="1"/>
  <c r="X93" i="17" a="1"/>
  <c r="X93" i="17" s="1"/>
  <c r="X94" i="17" a="1"/>
  <c r="X94" i="17" s="1"/>
  <c r="X95" i="17" a="1"/>
  <c r="X95" i="17" s="1"/>
  <c r="X96" i="17" a="1"/>
  <c r="X96" i="17" s="1"/>
  <c r="X97" i="17" a="1"/>
  <c r="X97" i="17" s="1"/>
  <c r="X152" i="17" a="1"/>
  <c r="X152" i="17" s="1"/>
  <c r="X153" i="17" a="1"/>
  <c r="X153" i="17" s="1"/>
  <c r="X154" i="17" a="1"/>
  <c r="X154" i="17" s="1"/>
  <c r="X155" i="17" a="1"/>
  <c r="X155" i="17" s="1"/>
  <c r="X156" i="17" a="1"/>
  <c r="X156" i="17" s="1"/>
  <c r="X157" i="17" a="1"/>
  <c r="X157" i="17" s="1"/>
  <c r="X187" i="17" a="1"/>
  <c r="X187" i="17" s="1"/>
  <c r="Y187" i="17" s="1"/>
  <c r="X197" i="17" a="1"/>
  <c r="X197" i="17" s="1"/>
  <c r="X207" i="17" a="1"/>
  <c r="X207" i="17" s="1"/>
  <c r="X38" i="17" a="1"/>
  <c r="X38" i="17" s="1"/>
  <c r="X39" i="17" a="1"/>
  <c r="X39" i="17" s="1"/>
  <c r="Y39" i="17" s="1"/>
  <c r="Q39" i="17" s="1"/>
  <c r="W39" i="17" s="1"/>
  <c r="X40" i="17" a="1"/>
  <c r="X40" i="17" s="1"/>
  <c r="X41" i="17" a="1"/>
  <c r="X41" i="17" s="1"/>
  <c r="X42" i="17" a="1"/>
  <c r="X42" i="17" s="1"/>
  <c r="X43" i="17" a="1"/>
  <c r="X43" i="17" s="1"/>
  <c r="Y43" i="17" s="1"/>
  <c r="Q43" i="17" s="1"/>
  <c r="W43" i="17" s="1"/>
  <c r="X98" i="17" a="1"/>
  <c r="X98" i="17" s="1"/>
  <c r="Y98" i="17" s="1"/>
  <c r="Q98" i="17" s="1"/>
  <c r="W98" i="17" s="1"/>
  <c r="X99" i="17" a="1"/>
  <c r="X99" i="17" s="1"/>
  <c r="X100" i="17" a="1"/>
  <c r="X100" i="17" s="1"/>
  <c r="X101" i="17" a="1"/>
  <c r="X101" i="17" s="1"/>
  <c r="Y101" i="17" s="1"/>
  <c r="Q101" i="17" s="1"/>
  <c r="W101" i="17" s="1"/>
  <c r="X102" i="17" a="1"/>
  <c r="X102" i="17" s="1"/>
  <c r="X103" i="17" a="1"/>
  <c r="X103" i="17" s="1"/>
  <c r="X158" i="17" a="1"/>
  <c r="X158" i="17" s="1"/>
  <c r="X159" i="17" a="1"/>
  <c r="X159" i="17" s="1"/>
  <c r="Y159" i="17" s="1"/>
  <c r="Q159" i="17" s="1"/>
  <c r="W159" i="17" s="1"/>
  <c r="X160" i="17" a="1"/>
  <c r="X160" i="17" s="1"/>
  <c r="X161" i="17" a="1"/>
  <c r="X161" i="17" s="1"/>
  <c r="X162" i="17" a="1"/>
  <c r="X162" i="17" s="1"/>
  <c r="X163" i="17" a="1"/>
  <c r="X163" i="17" s="1"/>
  <c r="Y163" i="17" s="1"/>
  <c r="X188" i="17" a="1"/>
  <c r="X188" i="17" s="1"/>
  <c r="X198" i="17" a="1"/>
  <c r="X198" i="17" s="1"/>
  <c r="X208" i="17" a="1"/>
  <c r="X208" i="17" s="1"/>
  <c r="X44" i="17" a="1"/>
  <c r="X44" i="17" s="1"/>
  <c r="X45" i="17" a="1"/>
  <c r="X45" i="17" s="1"/>
  <c r="Y45" i="17" s="1"/>
  <c r="Q45" i="17" s="1"/>
  <c r="W45" i="17" s="1"/>
  <c r="X46" i="17" a="1"/>
  <c r="X46" i="17" s="1"/>
  <c r="Y46" i="17" s="1"/>
  <c r="X47" i="17" a="1"/>
  <c r="X47" i="17" s="1"/>
  <c r="X48" i="17" a="1"/>
  <c r="X48" i="17" s="1"/>
  <c r="Y48" i="17" s="1"/>
  <c r="Q48" i="17" s="1"/>
  <c r="W48" i="17" s="1"/>
  <c r="X49" i="17" a="1"/>
  <c r="X49" i="17" s="1"/>
  <c r="X104" i="17" a="1"/>
  <c r="X104" i="17" s="1"/>
  <c r="X105" i="17" a="1"/>
  <c r="X105" i="17" s="1"/>
  <c r="X106" i="17" a="1"/>
  <c r="X106" i="17" s="1"/>
  <c r="Y106" i="17" s="1"/>
  <c r="X107" i="17" a="1"/>
  <c r="X107" i="17" s="1"/>
  <c r="X108" i="17" a="1"/>
  <c r="X108" i="17" s="1"/>
  <c r="X109" i="17" a="1"/>
  <c r="X109" i="17" s="1"/>
  <c r="X164" i="17" a="1"/>
  <c r="X164" i="17" s="1"/>
  <c r="X165" i="17" a="1"/>
  <c r="X165" i="17" s="1"/>
  <c r="Y165" i="17" s="1"/>
  <c r="Q165" i="17" s="1"/>
  <c r="W165" i="17" s="1"/>
  <c r="X166" i="17" a="1"/>
  <c r="X166" i="17" s="1"/>
  <c r="X167" i="17" a="1"/>
  <c r="X167" i="17" s="1"/>
  <c r="X168" i="17" a="1"/>
  <c r="X168" i="17" s="1"/>
  <c r="Y168" i="17" s="1"/>
  <c r="Q168" i="17" s="1"/>
  <c r="W168" i="17" s="1"/>
  <c r="X169" i="17" a="1"/>
  <c r="X169" i="17" s="1"/>
  <c r="Y169" i="17" s="1"/>
  <c r="X189" i="17" a="1"/>
  <c r="X189" i="17" s="1"/>
  <c r="Y189" i="17" s="1"/>
  <c r="Q189" i="17" s="1"/>
  <c r="W189" i="17" s="1"/>
  <c r="X199" i="17" a="1"/>
  <c r="X199" i="17" s="1"/>
  <c r="X209" i="17" a="1"/>
  <c r="X209" i="17" s="1"/>
  <c r="X50" i="17" a="1"/>
  <c r="X50" i="17" s="1"/>
  <c r="X51" i="17" a="1"/>
  <c r="X51" i="17" s="1"/>
  <c r="X52" i="17" a="1"/>
  <c r="X52" i="17" s="1"/>
  <c r="X53" i="17" a="1"/>
  <c r="X53" i="17" s="1"/>
  <c r="Y53" i="17" s="1"/>
  <c r="Q53" i="17" s="1"/>
  <c r="W53" i="17" s="1"/>
  <c r="X54" i="17" a="1"/>
  <c r="X54" i="17" s="1"/>
  <c r="Y54" i="17" s="1"/>
  <c r="Q54" i="17" s="1"/>
  <c r="W54" i="17" s="1"/>
  <c r="X55" i="17" a="1"/>
  <c r="X55" i="17" s="1"/>
  <c r="X110" i="17" a="1"/>
  <c r="X110" i="17" s="1"/>
  <c r="X111" i="17" a="1"/>
  <c r="X111" i="17" s="1"/>
  <c r="X112" i="17" a="1"/>
  <c r="X112" i="17" s="1"/>
  <c r="Y112" i="17" s="1"/>
  <c r="X113" i="17" a="1"/>
  <c r="X113" i="17" s="1"/>
  <c r="X114" i="17" a="1"/>
  <c r="X114" i="17" s="1"/>
  <c r="Y114" i="17" s="1"/>
  <c r="Q114" i="17" s="1"/>
  <c r="W114" i="17" s="1"/>
  <c r="X115" i="17" a="1"/>
  <c r="X115" i="17" s="1"/>
  <c r="Y115" i="17" s="1"/>
  <c r="Q115" i="17" s="1"/>
  <c r="W115" i="17" s="1"/>
  <c r="X170" i="17" a="1"/>
  <c r="X170" i="17" s="1"/>
  <c r="Y170" i="17" s="1"/>
  <c r="Q170" i="17" s="1"/>
  <c r="W170" i="17" s="1"/>
  <c r="X171" i="17" a="1"/>
  <c r="X171" i="17" s="1"/>
  <c r="Y171" i="17" s="1"/>
  <c r="Q171" i="17" s="1"/>
  <c r="W171" i="17" s="1"/>
  <c r="X172" i="17" a="1"/>
  <c r="X172" i="17" s="1"/>
  <c r="X173" i="17" a="1"/>
  <c r="X173" i="17" s="1"/>
  <c r="X174" i="17" a="1"/>
  <c r="X174" i="17" s="1"/>
  <c r="X175" i="17" a="1"/>
  <c r="X175" i="17" s="1"/>
  <c r="X190" i="17" a="1"/>
  <c r="X190" i="17" s="1"/>
  <c r="X200" i="17" a="1"/>
  <c r="X200" i="17" s="1"/>
  <c r="Y200" i="17" s="1"/>
  <c r="Q200" i="17" s="1"/>
  <c r="W200" i="17" s="1"/>
  <c r="X210" i="17" a="1"/>
  <c r="X210" i="17" s="1"/>
  <c r="Y210" i="17" s="1"/>
  <c r="Q210" i="17" s="1"/>
  <c r="W210" i="17" s="1"/>
  <c r="X56" i="17" a="1"/>
  <c r="X56" i="17" s="1"/>
  <c r="Y56" i="17" s="1"/>
  <c r="X57" i="17" a="1"/>
  <c r="X57" i="17" s="1"/>
  <c r="X58" i="17" a="1"/>
  <c r="X58" i="17" s="1"/>
  <c r="X59" i="17" a="1"/>
  <c r="X59" i="17" s="1"/>
  <c r="X60" i="17" a="1"/>
  <c r="X60" i="17" s="1"/>
  <c r="X61" i="17" a="1"/>
  <c r="X61" i="17" s="1"/>
  <c r="X116" i="17" a="1"/>
  <c r="X116" i="17" s="1"/>
  <c r="Y116" i="17" s="1"/>
  <c r="Q116" i="17" s="1"/>
  <c r="W116" i="17" s="1"/>
  <c r="X117" i="17" a="1"/>
  <c r="X117" i="17" s="1"/>
  <c r="Y117" i="17" s="1"/>
  <c r="X118" i="17" a="1"/>
  <c r="X118" i="17" s="1"/>
  <c r="X119" i="17" a="1"/>
  <c r="X119" i="17" s="1"/>
  <c r="Y119" i="17" s="1"/>
  <c r="Q119" i="17" s="1"/>
  <c r="W119" i="17" s="1"/>
  <c r="X120" i="17" a="1"/>
  <c r="X120" i="17" s="1"/>
  <c r="Y120" i="17" s="1"/>
  <c r="X121" i="17" a="1"/>
  <c r="X121" i="17" s="1"/>
  <c r="Y121" i="17" s="1"/>
  <c r="Q121" i="17" s="1"/>
  <c r="W121" i="17" s="1"/>
  <c r="X176" i="17" a="1"/>
  <c r="X176" i="17" s="1"/>
  <c r="Y176" i="17" s="1"/>
  <c r="Q176" i="17" s="1"/>
  <c r="W176" i="17" s="1"/>
  <c r="X177" i="17" a="1"/>
  <c r="X177" i="17" s="1"/>
  <c r="X178" i="17" a="1"/>
  <c r="X178" i="17" s="1"/>
  <c r="Y178" i="17" s="1"/>
  <c r="X179" i="17" a="1"/>
  <c r="X179" i="17" s="1"/>
  <c r="Y179" i="17" s="1"/>
  <c r="Q179" i="17" s="1"/>
  <c r="W179" i="17" s="1"/>
  <c r="X180" i="17" a="1"/>
  <c r="X180" i="17" s="1"/>
  <c r="Y180" i="17" s="1"/>
  <c r="X181" i="17" a="1"/>
  <c r="X181" i="17" s="1"/>
  <c r="X191" i="17" a="1"/>
  <c r="X191" i="17" s="1"/>
  <c r="Y191" i="17" s="1"/>
  <c r="X201" i="17" a="1"/>
  <c r="X201" i="17" s="1"/>
  <c r="X211" i="17" a="1"/>
  <c r="X211" i="17" s="1"/>
  <c r="Y3" i="17"/>
  <c r="Y5" i="17"/>
  <c r="Q5" i="17" s="1"/>
  <c r="W5" i="17" s="1"/>
  <c r="Y7" i="17"/>
  <c r="Q7" i="17" s="1"/>
  <c r="W7" i="17" s="1"/>
  <c r="Y65" i="17"/>
  <c r="Y122" i="17"/>
  <c r="Q122" i="17" s="1"/>
  <c r="W122" i="17" s="1"/>
  <c r="Y123" i="17"/>
  <c r="Q123" i="17" s="1"/>
  <c r="W123" i="17" s="1"/>
  <c r="Y127" i="17"/>
  <c r="Q127" i="17" s="1"/>
  <c r="W127" i="17" s="1"/>
  <c r="Y192" i="17"/>
  <c r="Q192" i="17" s="1"/>
  <c r="W192" i="17" s="1"/>
  <c r="Y202" i="17"/>
  <c r="Q202" i="17" s="1"/>
  <c r="W202" i="17" s="1"/>
  <c r="Y8" i="17"/>
  <c r="Y11" i="17"/>
  <c r="Y12" i="17"/>
  <c r="Y13" i="17"/>
  <c r="Q13" i="17" s="1"/>
  <c r="W13" i="17" s="1"/>
  <c r="Y69" i="17"/>
  <c r="Q69" i="17" s="1"/>
  <c r="W69" i="17" s="1"/>
  <c r="Y70" i="17"/>
  <c r="Y71" i="17"/>
  <c r="Q71" i="17" s="1"/>
  <c r="W71" i="17" s="1"/>
  <c r="Y73" i="17"/>
  <c r="Q73" i="17" s="1"/>
  <c r="W73" i="17" s="1"/>
  <c r="Y128" i="17"/>
  <c r="Y130" i="17"/>
  <c r="Q130" i="17" s="1"/>
  <c r="W130" i="17" s="1"/>
  <c r="Y131" i="17"/>
  <c r="Q131" i="17" s="1"/>
  <c r="W131" i="17" s="1"/>
  <c r="Y132" i="17"/>
  <c r="Q132" i="17" s="1"/>
  <c r="W132" i="17" s="1"/>
  <c r="Y203" i="17"/>
  <c r="Q203" i="17" s="1"/>
  <c r="W203" i="17" s="1"/>
  <c r="Y16" i="17"/>
  <c r="Q16" i="17" s="1"/>
  <c r="W16" i="17" s="1"/>
  <c r="Y17" i="17"/>
  <c r="Y18" i="17"/>
  <c r="Q18" i="17" s="1"/>
  <c r="W18" i="17" s="1"/>
  <c r="Y75" i="17"/>
  <c r="Q75" i="17" s="1"/>
  <c r="W75" i="17" s="1"/>
  <c r="Y76" i="17"/>
  <c r="Y79" i="17"/>
  <c r="Y134" i="17"/>
  <c r="Q134" i="17" s="1"/>
  <c r="W134" i="17" s="1"/>
  <c r="Y137" i="17"/>
  <c r="Y138" i="17"/>
  <c r="Q138" i="17" s="1"/>
  <c r="W138" i="17" s="1"/>
  <c r="Y184" i="17"/>
  <c r="Q184" i="17" s="1"/>
  <c r="W184" i="17" s="1"/>
  <c r="Y194" i="17"/>
  <c r="Q194" i="17" s="1"/>
  <c r="W194" i="17" s="1"/>
  <c r="Y204" i="17"/>
  <c r="Y21" i="17"/>
  <c r="Q21" i="17" s="1"/>
  <c r="W21" i="17" s="1"/>
  <c r="Y22" i="17"/>
  <c r="Q22" i="17" s="1"/>
  <c r="W22" i="17" s="1"/>
  <c r="Y23" i="17"/>
  <c r="Q23" i="17" s="1"/>
  <c r="W23" i="17" s="1"/>
  <c r="Y25" i="17"/>
  <c r="Y80" i="17"/>
  <c r="Q80" i="17" s="1"/>
  <c r="W80" i="17" s="1"/>
  <c r="Y81" i="17"/>
  <c r="Q81" i="17" s="1"/>
  <c r="W81" i="17" s="1"/>
  <c r="Y84" i="17"/>
  <c r="Q84" i="17" s="1"/>
  <c r="W84" i="17" s="1"/>
  <c r="Y141" i="17"/>
  <c r="Q141" i="17" s="1"/>
  <c r="W141" i="17" s="1"/>
  <c r="Y142" i="17"/>
  <c r="Y143" i="17"/>
  <c r="Q143" i="17" s="1"/>
  <c r="W143" i="17" s="1"/>
  <c r="Y145" i="17"/>
  <c r="Q145" i="17" s="1"/>
  <c r="W145" i="17" s="1"/>
  <c r="Y185" i="17"/>
  <c r="Q185" i="17" s="1"/>
  <c r="W185" i="17" s="1"/>
  <c r="Y195" i="17"/>
  <c r="Y26" i="17"/>
  <c r="Q26" i="17" s="1"/>
  <c r="W26" i="17" s="1"/>
  <c r="Y27" i="17"/>
  <c r="Q27" i="17" s="1"/>
  <c r="W27" i="17" s="1"/>
  <c r="Y28" i="17"/>
  <c r="Q28" i="17" s="1"/>
  <c r="W28" i="17" s="1"/>
  <c r="Y30" i="17"/>
  <c r="Y31" i="17"/>
  <c r="Q31" i="17" s="1"/>
  <c r="W31" i="17" s="1"/>
  <c r="Y86" i="17"/>
  <c r="Q86" i="17" s="1"/>
  <c r="W86" i="17" s="1"/>
  <c r="Y89" i="17"/>
  <c r="Y90" i="17"/>
  <c r="Q90" i="17" s="1"/>
  <c r="W90" i="17" s="1"/>
  <c r="Y146" i="17"/>
  <c r="Q146" i="17" s="1"/>
  <c r="W146" i="17" s="1"/>
  <c r="Y147" i="17"/>
  <c r="Q147" i="17" s="1"/>
  <c r="W147" i="17" s="1"/>
  <c r="Y148" i="17"/>
  <c r="Q148" i="17" s="1"/>
  <c r="W148" i="17" s="1"/>
  <c r="Y150" i="17"/>
  <c r="Q150" i="17" s="1"/>
  <c r="W150" i="17" s="1"/>
  <c r="Y151" i="17"/>
  <c r="Q151" i="17" s="1"/>
  <c r="W151" i="17" s="1"/>
  <c r="Y206" i="17"/>
  <c r="Q206" i="17" s="1"/>
  <c r="W206" i="17" s="1"/>
  <c r="Y32" i="17"/>
  <c r="Q32" i="17" s="1"/>
  <c r="W32" i="17" s="1"/>
  <c r="Y33" i="17"/>
  <c r="Q33" i="17" s="1"/>
  <c r="W33" i="17" s="1"/>
  <c r="Y35" i="17"/>
  <c r="Q35" i="17" s="1"/>
  <c r="W35" i="17" s="1"/>
  <c r="Y36" i="17"/>
  <c r="Y37" i="17"/>
  <c r="Q37" i="17" s="1"/>
  <c r="W37" i="17" s="1"/>
  <c r="Y93" i="17"/>
  <c r="Y94" i="17"/>
  <c r="Q94" i="17" s="1"/>
  <c r="W94" i="17" s="1"/>
  <c r="Y95" i="17"/>
  <c r="Y96" i="17"/>
  <c r="Q96" i="17" s="1"/>
  <c r="W96" i="17" s="1"/>
  <c r="Y97" i="17"/>
  <c r="Q97" i="17" s="1"/>
  <c r="W97" i="17" s="1"/>
  <c r="Y152" i="17"/>
  <c r="Q152" i="17" s="1"/>
  <c r="W152" i="17" s="1"/>
  <c r="Y155" i="17"/>
  <c r="Y156" i="17"/>
  <c r="Q156" i="17" s="1"/>
  <c r="W156" i="17" s="1"/>
  <c r="Y157" i="17"/>
  <c r="Q157" i="17" s="1"/>
  <c r="W157" i="17" s="1"/>
  <c r="Y207" i="17"/>
  <c r="Q207" i="17" s="1"/>
  <c r="W207" i="17" s="1"/>
  <c r="Y38" i="17"/>
  <c r="Q38" i="17" s="1"/>
  <c r="W38" i="17" s="1"/>
  <c r="Y41" i="17"/>
  <c r="Q41" i="17" s="1"/>
  <c r="W41" i="17" s="1"/>
  <c r="Y42" i="17"/>
  <c r="Q42" i="17" s="1"/>
  <c r="W42" i="17" s="1"/>
  <c r="Y99" i="17"/>
  <c r="Q99" i="17" s="1"/>
  <c r="W99" i="17" s="1"/>
  <c r="Y100" i="17"/>
  <c r="Y103" i="17"/>
  <c r="Y158" i="17"/>
  <c r="Q158" i="17" s="1"/>
  <c r="W158" i="17" s="1"/>
  <c r="Y160" i="17"/>
  <c r="Q160" i="17" s="1"/>
  <c r="W160" i="17" s="1"/>
  <c r="Y161" i="17"/>
  <c r="Q161" i="17" s="1"/>
  <c r="W161" i="17" s="1"/>
  <c r="Y198" i="17"/>
  <c r="Q198" i="17" s="1"/>
  <c r="W198" i="17" s="1"/>
  <c r="Y208" i="17"/>
  <c r="Q208" i="17" s="1"/>
  <c r="W208" i="17" s="1"/>
  <c r="Y104" i="17"/>
  <c r="Q104" i="17" s="1"/>
  <c r="W104" i="17" s="1"/>
  <c r="Y105" i="17"/>
  <c r="Q105" i="17" s="1"/>
  <c r="W105" i="17" s="1"/>
  <c r="Y108" i="17"/>
  <c r="Q108" i="17" s="1"/>
  <c r="W108" i="17" s="1"/>
  <c r="Y109" i="17"/>
  <c r="Y166" i="17"/>
  <c r="Q166" i="17" s="1"/>
  <c r="W166" i="17" s="1"/>
  <c r="Y167" i="17"/>
  <c r="Q167" i="17" s="1"/>
  <c r="W167" i="17" s="1"/>
  <c r="Y199" i="17"/>
  <c r="Q199" i="17" s="1"/>
  <c r="W199" i="17" s="1"/>
  <c r="Y51" i="17"/>
  <c r="Q51" i="17" s="1"/>
  <c r="W51" i="17" s="1"/>
  <c r="Y52" i="17"/>
  <c r="Q52" i="17" s="1"/>
  <c r="W52" i="17" s="1"/>
  <c r="Y55" i="17"/>
  <c r="Q55" i="17" s="1"/>
  <c r="W55" i="17" s="1"/>
  <c r="Y110" i="17"/>
  <c r="Q110" i="17" s="1"/>
  <c r="W110" i="17" s="1"/>
  <c r="Y113" i="17"/>
  <c r="Q113" i="17" s="1"/>
  <c r="W113" i="17" s="1"/>
  <c r="Y175" i="17"/>
  <c r="Y190" i="17"/>
  <c r="Q190" i="17" s="1"/>
  <c r="W190" i="17" s="1"/>
  <c r="Y57" i="17"/>
  <c r="Q57" i="17" s="1"/>
  <c r="W57" i="17" s="1"/>
  <c r="Y60" i="17"/>
  <c r="Q60" i="17" s="1"/>
  <c r="W60" i="17" s="1"/>
  <c r="Y61" i="17"/>
  <c r="Q61" i="17" s="1"/>
  <c r="W61" i="17" s="1"/>
  <c r="Y118" i="17"/>
  <c r="Y177" i="17"/>
  <c r="Q177" i="17" s="1"/>
  <c r="W177" i="17" s="1"/>
  <c r="Y211" i="17"/>
  <c r="Q211" i="17" s="1"/>
  <c r="W211" i="17" s="1"/>
  <c r="G2" i="16"/>
  <c r="N15" i="20" l="1"/>
  <c r="N71" i="20"/>
  <c r="N131" i="20"/>
  <c r="N135" i="20"/>
  <c r="N7" i="20"/>
  <c r="N18" i="20"/>
  <c r="N11" i="20"/>
  <c r="N97" i="20"/>
  <c r="N117" i="20"/>
  <c r="N103" i="20"/>
  <c r="N9" i="20"/>
  <c r="N83" i="20"/>
  <c r="N3" i="20"/>
  <c r="N142" i="20"/>
  <c r="N130" i="20"/>
  <c r="N27" i="20"/>
  <c r="N139" i="20"/>
  <c r="N81" i="20"/>
  <c r="N51" i="20"/>
  <c r="N149" i="20"/>
  <c r="N99" i="20"/>
  <c r="N19" i="20"/>
  <c r="N87" i="20"/>
  <c r="N91" i="20"/>
  <c r="N55" i="20"/>
  <c r="N43" i="20"/>
  <c r="N35" i="20"/>
  <c r="N147" i="20"/>
  <c r="N123" i="20"/>
  <c r="U141" i="18"/>
  <c r="R9" i="18"/>
  <c r="U9" i="18" s="1"/>
  <c r="R97" i="18"/>
  <c r="U97" i="18" s="1"/>
  <c r="R141" i="18"/>
  <c r="R17" i="18"/>
  <c r="U17" i="18" s="1"/>
  <c r="R161" i="18"/>
  <c r="U161" i="18" s="1"/>
  <c r="R109" i="18"/>
  <c r="U109" i="18" s="1"/>
  <c r="R77" i="18"/>
  <c r="U77" i="18" s="1"/>
  <c r="R45" i="18"/>
  <c r="U45" i="18" s="1"/>
  <c r="R29" i="18"/>
  <c r="U29" i="18" s="1"/>
  <c r="R21" i="18"/>
  <c r="U21" i="18" s="1"/>
  <c r="R13" i="18"/>
  <c r="U13" i="18" s="1"/>
  <c r="R5" i="18"/>
  <c r="U5" i="18" s="1"/>
  <c r="R65" i="18"/>
  <c r="U65" i="18" s="1"/>
  <c r="R131" i="18"/>
  <c r="U131" i="18" s="1"/>
  <c r="R99" i="18"/>
  <c r="U99" i="18" s="1"/>
  <c r="R149" i="18"/>
  <c r="U149" i="18" s="1"/>
  <c r="R85" i="18"/>
  <c r="U85" i="18" s="1"/>
  <c r="R117" i="18"/>
  <c r="U117" i="18" s="1"/>
  <c r="Y182" i="17"/>
  <c r="Q30" i="17"/>
  <c r="W30" i="17" s="1"/>
  <c r="Q79" i="17"/>
  <c r="W79" i="17" s="1"/>
  <c r="Q180" i="17"/>
  <c r="W180" i="17" s="1"/>
  <c r="Q56" i="17"/>
  <c r="W56" i="17" s="1"/>
  <c r="N193" i="17" a="1"/>
  <c r="N193" i="17" s="1"/>
  <c r="Y172" i="17"/>
  <c r="Q172" i="17" s="1"/>
  <c r="W172" i="17" s="1"/>
  <c r="Q76" i="17"/>
  <c r="W76" i="17" s="1"/>
  <c r="Y72" i="17"/>
  <c r="Q72" i="17" s="1"/>
  <c r="W72" i="17" s="1"/>
  <c r="Y153" i="17"/>
  <c r="Q153" i="17" s="1"/>
  <c r="W153" i="17" s="1"/>
  <c r="Y136" i="17"/>
  <c r="Q136" i="17" s="1"/>
  <c r="W136" i="17" s="1"/>
  <c r="Y74" i="17"/>
  <c r="Y193" i="17"/>
  <c r="Q193" i="17" s="1"/>
  <c r="W193" i="17" s="1"/>
  <c r="N8" i="17" a="1"/>
  <c r="N8" i="17" s="1"/>
  <c r="N124" i="17" a="1"/>
  <c r="N124" i="17" s="1"/>
  <c r="N11" i="17" a="1"/>
  <c r="N11" i="17" s="1"/>
  <c r="N4" i="17" a="1"/>
  <c r="N4" i="17" s="1"/>
  <c r="Q155" i="17"/>
  <c r="W155" i="17" s="1"/>
  <c r="Q11" i="17"/>
  <c r="W11" i="17" s="1"/>
  <c r="Q178" i="17"/>
  <c r="W178" i="17" s="1"/>
  <c r="Y44" i="17"/>
  <c r="Q44" i="17" s="1"/>
  <c r="W44" i="17" s="1"/>
  <c r="N77" i="17" a="1"/>
  <c r="N77" i="17" s="1"/>
  <c r="N17" i="17" a="1"/>
  <c r="N17" i="17" s="1"/>
  <c r="N133" i="17" a="1"/>
  <c r="N133" i="17" s="1"/>
  <c r="N192" i="17" a="1"/>
  <c r="N192" i="17" s="1"/>
  <c r="Y197" i="17"/>
  <c r="Q197" i="17" s="1"/>
  <c r="W197" i="17" s="1"/>
  <c r="Y124" i="17"/>
  <c r="Q124" i="17" s="1"/>
  <c r="W124" i="17" s="1"/>
  <c r="Q103" i="17"/>
  <c r="W103" i="17" s="1"/>
  <c r="Q36" i="17"/>
  <c r="W36" i="17" s="1"/>
  <c r="Q175" i="17"/>
  <c r="W175" i="17" s="1"/>
  <c r="Q8" i="17"/>
  <c r="W8" i="17" s="1"/>
  <c r="Q3" i="17"/>
  <c r="W3" i="17" s="1"/>
  <c r="Q87" i="17"/>
  <c r="W87" i="17" s="1"/>
  <c r="N132" i="17" a="1"/>
  <c r="N132" i="17" s="1"/>
  <c r="N71" i="17" a="1"/>
  <c r="N71" i="17" s="1"/>
  <c r="N123" i="17" a="1"/>
  <c r="N123" i="17" s="1"/>
  <c r="Y133" i="17"/>
  <c r="Q133" i="17" s="1"/>
  <c r="W133" i="17" s="1"/>
  <c r="Q100" i="17"/>
  <c r="W100" i="17" s="1"/>
  <c r="Q117" i="17"/>
  <c r="W117" i="17" s="1"/>
  <c r="Q204" i="17"/>
  <c r="W204" i="17" s="1"/>
  <c r="Q17" i="17"/>
  <c r="W17" i="17" s="1"/>
  <c r="N75" i="17" a="1"/>
  <c r="N75" i="17" s="1"/>
  <c r="N16" i="17" a="1"/>
  <c r="N16" i="17" s="1"/>
  <c r="N131" i="17" a="1"/>
  <c r="N131" i="17" s="1"/>
  <c r="N62" i="17" a="1"/>
  <c r="N62" i="17" s="1"/>
  <c r="Y186" i="17"/>
  <c r="Q109" i="17"/>
  <c r="W109" i="17" s="1"/>
  <c r="Y201" i="17"/>
  <c r="Q201" i="17" s="1"/>
  <c r="W201" i="17" s="1"/>
  <c r="Y49" i="17"/>
  <c r="Y188" i="17"/>
  <c r="Y102" i="17"/>
  <c r="Q102" i="17" s="1"/>
  <c r="W102" i="17" s="1"/>
  <c r="Q68" i="17"/>
  <c r="W68" i="17" s="1"/>
  <c r="N130" i="17" a="1"/>
  <c r="N130" i="17" s="1"/>
  <c r="N69" i="17" a="1"/>
  <c r="N69" i="17" s="1"/>
  <c r="N2" i="17" a="1"/>
  <c r="N2" i="17" s="1"/>
  <c r="Y62" i="17"/>
  <c r="Y2" i="17"/>
  <c r="Q2" i="17" s="1"/>
  <c r="W2" i="17" s="1"/>
  <c r="Q118" i="17"/>
  <c r="W118" i="17" s="1"/>
  <c r="Q137" i="17"/>
  <c r="W137" i="17" s="1"/>
  <c r="Q191" i="17"/>
  <c r="W191" i="17" s="1"/>
  <c r="Y111" i="17"/>
  <c r="Y164" i="17"/>
  <c r="Q164" i="17" s="1"/>
  <c r="W164" i="17" s="1"/>
  <c r="Y92" i="17"/>
  <c r="Q92" i="17" s="1"/>
  <c r="W92" i="17" s="1"/>
  <c r="N19" i="17" a="1"/>
  <c r="N19" i="17" s="1"/>
  <c r="N14" i="17" a="1"/>
  <c r="N14" i="17" s="1"/>
  <c r="N129" i="17" a="1"/>
  <c r="N129" i="17" s="1"/>
  <c r="N68" i="17" a="1"/>
  <c r="N68" i="17" s="1"/>
  <c r="Y83" i="17"/>
  <c r="Q83" i="17" s="1"/>
  <c r="W83" i="17" s="1"/>
  <c r="Y77" i="17"/>
  <c r="Q77" i="17" s="1"/>
  <c r="W77" i="17" s="1"/>
  <c r="Q65" i="17"/>
  <c r="W65" i="17" s="1"/>
  <c r="Y20" i="17"/>
  <c r="Q20" i="17" s="1"/>
  <c r="W20" i="17" s="1"/>
  <c r="N134" i="17" a="1"/>
  <c r="N134" i="17" s="1"/>
  <c r="N128" i="17" a="1"/>
  <c r="N128" i="17" s="1"/>
  <c r="N12" i="17" a="1"/>
  <c r="N12" i="17" s="1"/>
  <c r="Y14" i="17"/>
  <c r="Q14" i="17" s="1"/>
  <c r="W14" i="17" s="1"/>
  <c r="Q46" i="17"/>
  <c r="W46" i="17" s="1"/>
  <c r="Q74" i="17"/>
  <c r="W74" i="17" s="1"/>
  <c r="Y205" i="17"/>
  <c r="Q205" i="17" s="1"/>
  <c r="W205" i="17" s="1"/>
  <c r="Q186" i="17"/>
  <c r="W186" i="17" s="1"/>
  <c r="Q93" i="17"/>
  <c r="W93" i="17" s="1"/>
  <c r="Q62" i="17"/>
  <c r="W62" i="17" s="1"/>
  <c r="Q142" i="17"/>
  <c r="W142" i="17" s="1"/>
  <c r="Q182" i="17"/>
  <c r="W182" i="17" s="1"/>
  <c r="N13" i="17" a="1"/>
  <c r="N13" i="17" s="1"/>
  <c r="N202" i="17" a="1"/>
  <c r="N202" i="17" s="1"/>
  <c r="N3" i="17" a="1"/>
  <c r="N3" i="17" s="1"/>
  <c r="Q196" i="17"/>
  <c r="W196" i="17" s="1"/>
  <c r="Q139" i="17"/>
  <c r="W139" i="17" s="1"/>
  <c r="Y183" i="17"/>
  <c r="Q183" i="17" s="1"/>
  <c r="W183" i="17" s="1"/>
  <c r="Q95" i="17"/>
  <c r="W95" i="17" s="1"/>
  <c r="Y59" i="17"/>
  <c r="Q59" i="17" s="1"/>
  <c r="W59" i="17" s="1"/>
  <c r="Y174" i="17"/>
  <c r="Q174" i="17" s="1"/>
  <c r="W174" i="17" s="1"/>
  <c r="Q112" i="17"/>
  <c r="W112" i="17" s="1"/>
  <c r="Y50" i="17"/>
  <c r="Q50" i="17" s="1"/>
  <c r="W50" i="17" s="1"/>
  <c r="Q49" i="17"/>
  <c r="W49" i="17" s="1"/>
  <c r="Q188" i="17"/>
  <c r="W188" i="17" s="1"/>
  <c r="Y29" i="17"/>
  <c r="Q29" i="17" s="1"/>
  <c r="W29" i="17" s="1"/>
  <c r="Y63" i="17"/>
  <c r="Q63" i="17" s="1"/>
  <c r="W63" i="17" s="1"/>
  <c r="N182" i="17" a="1"/>
  <c r="N182" i="17" s="1"/>
  <c r="N122" i="17" a="1"/>
  <c r="N122" i="17" s="1"/>
  <c r="Q89" i="17"/>
  <c r="W89" i="17" s="1"/>
  <c r="Q12" i="17"/>
  <c r="W12" i="17" s="1"/>
  <c r="Q195" i="17"/>
  <c r="W195" i="17" s="1"/>
  <c r="Q128" i="17"/>
  <c r="W128" i="17" s="1"/>
  <c r="Q120" i="17"/>
  <c r="W120" i="17" s="1"/>
  <c r="Y58" i="17"/>
  <c r="Q58" i="17" s="1"/>
  <c r="W58" i="17" s="1"/>
  <c r="Y173" i="17"/>
  <c r="Q173" i="17" s="1"/>
  <c r="W173" i="17" s="1"/>
  <c r="Q111" i="17"/>
  <c r="W111" i="17" s="1"/>
  <c r="Y209" i="17"/>
  <c r="Q209" i="17" s="1"/>
  <c r="W209" i="17" s="1"/>
  <c r="Q163" i="17"/>
  <c r="W163" i="17" s="1"/>
  <c r="Q187" i="17"/>
  <c r="W187" i="17" s="1"/>
  <c r="N127" i="17" a="1"/>
  <c r="N127" i="17" s="1"/>
  <c r="N67" i="17" a="1"/>
  <c r="N67" i="17" s="1"/>
  <c r="N7" i="17" a="1"/>
  <c r="N7" i="17" s="1"/>
  <c r="Y82" i="17"/>
  <c r="Q82" i="17" s="1"/>
  <c r="W82" i="17" s="1"/>
  <c r="N70" i="17" a="1"/>
  <c r="N70" i="17" s="1"/>
  <c r="N126" i="17" a="1"/>
  <c r="N126" i="17" s="1"/>
  <c r="N66" i="17" a="1"/>
  <c r="N66" i="17" s="1"/>
  <c r="Y40" i="17"/>
  <c r="Q40" i="17" s="1"/>
  <c r="W40" i="17" s="1"/>
  <c r="Y135" i="17"/>
  <c r="Q135" i="17" s="1"/>
  <c r="W135" i="17" s="1"/>
  <c r="N125" i="17" a="1"/>
  <c r="N125" i="17" s="1"/>
  <c r="N65" i="17" a="1"/>
  <c r="N65" i="17" s="1"/>
  <c r="N6" i="17" a="1"/>
  <c r="N6" i="17" s="1"/>
  <c r="Q25" i="17"/>
  <c r="W25" i="17" s="1"/>
  <c r="Q70" i="17"/>
  <c r="W70" i="17" s="1"/>
  <c r="Q169" i="17"/>
  <c r="W169" i="17" s="1"/>
  <c r="Y107" i="17"/>
  <c r="Q107" i="17" s="1"/>
  <c r="W107" i="17" s="1"/>
  <c r="Y10" i="17"/>
  <c r="Q10" i="17" s="1"/>
  <c r="W10" i="17" s="1"/>
  <c r="N64" i="17" a="1"/>
  <c r="N64" i="17" s="1"/>
  <c r="N5" i="17" a="1"/>
  <c r="N5" i="17" s="1"/>
  <c r="Q106" i="17"/>
  <c r="W106" i="17" s="1"/>
  <c r="Y154" i="17"/>
  <c r="Q154" i="17" s="1"/>
  <c r="W154" i="17" s="1"/>
  <c r="Y19" i="17"/>
  <c r="Q19" i="17" s="1"/>
  <c r="W19" i="17" s="1"/>
  <c r="N63" i="17" a="1"/>
  <c r="N63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uizm\OneDrive\documents\2021-2\pesquisa operacional para engenharia\arena\simulacao_tempos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uizm\OneDrive\documents\2021-2\pesquisa operacional para engenharia\arena\simulacao_tempos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uizm\OneDrive\documents\2021-2\pesquisa operacional para engenharia\arena\simulacao_tempos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uizm\OneDrive\documents\2021-2\pesquisa operacional para engenharia\arena\simulacao_tempos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uizm\OneDrive\documents\2021-2\pesquisa operacional para engenharia\arena\simulacao_tempos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uizm\OneDrive\documents\2021-2\pesquisa operacional para engenharia\arena\simulacao_tempos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<sst xmlns="http://schemas.openxmlformats.org/spreadsheetml/2006/main" count="2902" uniqueCount="115">
  <si>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</si>
  <si>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</si>
  <si>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</si>
  <si>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</si>
  <si>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</si>
  <si>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</si>
  <si>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</si>
  <si>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</si>
  <si>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</si>
  <si>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</si>
  <si>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</si>
  <si>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</si>
  <si>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</si>
  <si>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</si>
  <si>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</si>
  <si>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</si>
  <si>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</si>
  <si>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</si>
  <si>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</si>
  <si>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</si>
  <si>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</si>
  <si>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</si>
  <si>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</si>
  <si>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</si>
  <si>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</si>
  <si>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</si>
  <si>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</si>
  <si>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</si>
  <si>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</si>
  <si>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</si>
  <si>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</si>
  <si>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</si>
  <si>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</si>
  <si>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</si>
  <si>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</si>
  <si>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</si>
  <si>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</si>
  <si>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</si>
  <si>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</si>
  <si>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</si>
  <si>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</si>
  <si>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</si>
  <si>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</si>
  <si>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</si>
  <si>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</si>
  <si>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</si>
  <si>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</si>
  <si>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</si>
  <si>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</si>
  <si>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</si>
  <si>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</si>
  <si>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</si>
  <si>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</si>
  <si>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</si>
  <si>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</si>
  <si>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</si>
  <si>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</si>
  <si>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</si>
  <si>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</si>
  <si>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</si>
  <si>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</si>
  <si>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</si>
  <si>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</si>
  <si>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</si>
  <si>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</si>
  <si>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</si>
  <si>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</si>
  <si>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C:\Users\luizm\OneDrive\Documents\2021-2\Pesquisa Operacional para Engenharia\Arena\Simulacao_Tempos.p</t>
  </si>
  <si>
    <t>2022-12-22 20:16:34</t>
  </si>
  <si>
    <t>PICTURE_AZUL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</si>
  <si>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</si>
  <si>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</si>
  <si>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</si>
  <si>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</si>
  <si>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</si>
  <si>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</si>
  <si>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</si>
  <si>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PICTURE_VERDE</t>
  </si>
  <si>
    <t>PICTURE_VERMELHO</t>
  </si>
  <si>
    <t>Processo Cortadeira.Queue</t>
  </si>
  <si>
    <t>Waiting Time</t>
  </si>
  <si>
    <t>Queue</t>
  </si>
  <si>
    <t>Processo Lixadeira.Queue</t>
  </si>
  <si>
    <t>Processo Torno.Queue</t>
  </si>
  <si>
    <t>OPERADOR_CORTE</t>
  </si>
  <si>
    <t>Instantaneous Utilization</t>
  </si>
  <si>
    <t>Resource</t>
  </si>
  <si>
    <t>Number Busy</t>
  </si>
  <si>
    <t>Number Scheduled</t>
  </si>
  <si>
    <t>OPERADOR_LIXADEIRA</t>
  </si>
  <si>
    <t>OPERADOR_TORNO</t>
  </si>
  <si>
    <t>PECA</t>
  </si>
  <si>
    <t>WIP</t>
  </si>
  <si>
    <t>Number Waiting</t>
  </si>
  <si>
    <t>OPERADOR_CORTE.NumberSeized</t>
  </si>
  <si>
    <t>Total Number Seized</t>
  </si>
  <si>
    <t>OPERADOR_CORTE.ScheduledUtilization</t>
  </si>
  <si>
    <t>Scheduled Utilization</t>
  </si>
  <si>
    <t>OPERADOR_LIXADEIRA.NumberSeized</t>
  </si>
  <si>
    <t>OPERADOR_LIXADEIRA.ScheduledUtilization</t>
  </si>
  <si>
    <t>OPERADOR_TORNO.NumberSeized</t>
  </si>
  <si>
    <t>OPERADOR_TORNO.ScheduledUtilization</t>
  </si>
  <si>
    <t>PECA.NumberIn</t>
  </si>
  <si>
    <t>Number In</t>
  </si>
  <si>
    <t>PECA.NumberOut</t>
  </si>
  <si>
    <t>Number Out</t>
  </si>
  <si>
    <t>PICTURE_AZUL.NumberIn</t>
  </si>
  <si>
    <t>PICTURE_AZUL.NumberOut</t>
  </si>
  <si>
    <t>PICTURE_VERDE.NumberIn</t>
  </si>
  <si>
    <t>PICTURE_VERDE.NumberOut</t>
  </si>
  <si>
    <t>PICTURE_VERMELHO.NumberIn</t>
  </si>
  <si>
    <t>PICTURE_VERMELHO.NumberOut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</si>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</sst>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17.844947569443" createdVersion="7" refreshedVersion="8" minRefreshableVersion="3" recordCount="16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33">
        <s v="OPERADOR_CORTE"/>
        <s v="OPERADOR_LIXADEIRA"/>
        <s v="OPERADOR_TORNO"/>
        <s v="PECA"/>
        <s v="PICTURE_AZUL"/>
        <s v="PICTURE_VERDE"/>
        <s v="PICTURE_VERMELHO"/>
        <s v="Processo Cortadeira.Queue"/>
        <s v="Processo Lixadeira.Queue"/>
        <s v="Processo Torno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WIP"/>
        <s v="Number Waiting"/>
        <m u="1"/>
        <s v="Levels" u="1"/>
      </sharedItems>
    </cacheField>
    <cacheField name="Source" numFmtId="0">
      <sharedItems containsBlank="1" count="5">
        <s v="Resource"/>
        <s v="Entity"/>
        <s v="Queue"/>
        <m u="1"/>
        <s v="User Specified" u="1"/>
      </sharedItems>
    </cacheField>
    <cacheField name="Average" numFmtId="0">
      <sharedItems containsSemiMixedTypes="0" containsString="0" containsNumber="1" minValue="0" maxValue="5.62509510911375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11"/>
    </cacheField>
    <cacheField name="LastRecordedValue" numFmtId="0">
      <sharedItems containsSemiMixedTypes="0" containsString="0" containsNumber="1" containsInteger="1" minValue="0" maxValue="1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1.7449219173007218"/>
    </cacheField>
    <cacheField name="StDevOfAverage" numFmtId="0">
      <sharedItems containsSemiMixedTypes="0" containsString="0" containsNumber="1" minValue="0" maxValue="1.567259592744996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1211499731189045"/>
    </cacheField>
    <cacheField name="MinimumAverage" numFmtId="0">
      <sharedItems containsSemiMixedTypes="0" containsString="0" containsNumber="1" minValue="0" maxValue="1"/>
    </cacheField>
    <cacheField name="MaximumAverage" numFmtId="0">
      <sharedItems containsSemiMixedTypes="0" containsString="0" containsNumber="1" minValue="0" maxValue="5.62509510911375"/>
    </cacheField>
    <cacheField name="SummaryHalfWidth" numFmtId="0">
      <sharedItems containsSemiMixedTypes="0" containsString="0" containsNumber="1" minValue="0" maxValue="1.12114997311890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17.844947685182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17.844947685182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05">
        <s v="PICTURE_AZUL"/>
        <s v="PICTURE_VERDE"/>
        <s v="PICTURE_VERMELHO"/>
        <s v="Processo Cortadeira.Queue"/>
        <s v="Processo Lixadeira.Queue"/>
        <s v="Processo Torno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2480.96832656463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943.9812521398301"/>
    </cacheField>
    <cacheField name="Maximum" numFmtId="0">
      <sharedItems containsSemiMixedTypes="0" containsString="0" containsNumber="1" minValue="0" maxValue="2891.9175620544302"/>
    </cacheField>
    <cacheField name="NumberObservations" numFmtId="0">
      <sharedItems containsSemiMixedTypes="0" containsString="0" containsNumber="1" containsInteger="1" minValue="3" maxValue="21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1596.674794200479"/>
    </cacheField>
    <cacheField name="StDevOfAverage" numFmtId="0">
      <sharedItems containsSemiMixedTypes="0" containsString="0" containsNumber="1" minValue="0" maxValue="360.1710929234737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57.65087865380895"/>
    </cacheField>
    <cacheField name="MinimumAverage" numFmtId="0">
      <sharedItems containsSemiMixedTypes="0" containsString="0" containsNumber="1" minValue="0" maxValue="1294.7038939982201"/>
    </cacheField>
    <cacheField name="MaximumAverage" numFmtId="0">
      <sharedItems containsSemiMixedTypes="0" containsString="0" containsNumber="1" minValue="0" maxValue="2480.9683265646399"/>
    </cacheField>
    <cacheField name="OverallMinimum" numFmtId="0">
      <sharedItems containsSemiMixedTypes="0" containsString="0" containsNumber="1" minValue="0" maxValue="883.654167763744"/>
    </cacheField>
    <cacheField name="OverallMaximum" numFmtId="0">
      <sharedItems containsSemiMixedTypes="0" containsString="0" containsNumber="1" minValue="0" maxValue="2891.9175620544302"/>
    </cacheField>
    <cacheField name="AverageNumberObservations" numFmtId="0">
      <sharedItems containsSemiMixedTypes="0" containsString="0" containsNumber="1" minValue="3.6" maxValue="15.9"/>
    </cacheField>
    <cacheField name="SummaryHalfWidth" numFmtId="0">
      <sharedItems containsSemiMixedTypes="0" containsString="0" containsNumber="1" minValue="0" maxValue="257.65087865380895"/>
    </cacheField>
    <cacheField name="RepsWithStatObserved" numFmtId="0">
      <sharedItems containsSemiMixedTypes="0" containsString="0" containsNumber="1" containsInteger="1" minValue="10" maxValue="1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17.844947916667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91">
        <s v="OPERADOR_CORTE.NumberSeized"/>
        <s v="OPERADOR_CORTE.ScheduledUtilization"/>
        <s v="OPERADOR_LIXADEIRA.NumberSeized"/>
        <s v="OPERADOR_LIXADEIRA.ScheduledUtilization"/>
        <s v="OPERADOR_TORNO.NumberSeized"/>
        <s v="OPERADOR_TORNO.ScheduledUtilization"/>
        <s v="PECA.NumberIn"/>
        <s v="PECA.NumberOut"/>
        <s v="PICTURE_AZUL.NumberIn"/>
        <s v="PICTURE_AZUL.NumberOut"/>
        <s v="PICTURE_VERDE.NumberIn"/>
        <s v="PICTURE_VERDE.NumberOut"/>
        <s v="PICTURE_VERMELHO.NumberIn"/>
        <s v="PICTURE_VERMELHO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48262851817987601" maxValue="4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" numFmtId="0">
      <sharedItems containsSemiMixedTypes="0" containsString="0" containsNumber="1" minValue="0.61388612230942741" maxValue="29.9"/>
    </cacheField>
    <cacheField name="StandardDeviation" numFmtId="0">
      <sharedItems containsSemiMixedTypes="0" containsString="0" containsNumber="1" minValue="0.11265505672935852" maxValue="6.419588079550826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8.0588572823863613E-2" maxValue="4.59229666619364"/>
    </cacheField>
    <cacheField name="Minimum" numFmtId="0">
      <sharedItems containsSemiMixedTypes="0" containsString="0" containsNumber="1" minValue="0.48262851817987601" maxValue="20"/>
    </cacheField>
    <cacheField name="Maximum" numFmtId="0">
      <sharedItems containsSemiMixedTypes="0" containsString="0" containsNumber="1" minValue="0.85064625227951796" maxValue="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17.84494803240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">
  <r>
    <x v="0"/>
    <s v="2022-12-22 20:16:34"/>
    <n v="1"/>
    <x v="0"/>
    <x v="0"/>
    <x v="0"/>
    <n v="0.739383947758675"/>
    <n v="2E+20"/>
    <n v="0"/>
    <n v="1"/>
    <n v="1"/>
    <n v="0"/>
    <s v="Unnamed ProjectOPERADOR_CORTEInstantaneous Utilization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1"/>
    <x v="0"/>
    <x v="1"/>
    <x v="0"/>
    <n v="0.739383947758675"/>
    <n v="2E+20"/>
    <n v="0"/>
    <n v="1"/>
    <n v="1"/>
    <n v="0"/>
    <s v="Unnamed ProjectOPERADOR_CORTENumber Busy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1"/>
    <x v="0"/>
    <x v="2"/>
    <x v="0"/>
    <n v="1"/>
    <n v="2E+20"/>
    <n v="1"/>
    <n v="1"/>
    <n v="1"/>
    <n v="0"/>
    <s v="Unnamed ProjectOPERADOR_CORTENumber ScheduledResource"/>
    <n v="10"/>
    <n v="1"/>
    <n v="0"/>
    <n v="0.95"/>
    <n v="0"/>
    <n v="1"/>
    <n v="1"/>
    <n v="0"/>
  </r>
  <r>
    <x v="0"/>
    <s v="2022-12-22 20:16:34"/>
    <n v="1"/>
    <x v="1"/>
    <x v="0"/>
    <x v="0"/>
    <n v="0.72290834012351401"/>
    <n v="2E+20"/>
    <n v="0"/>
    <n v="1"/>
    <n v="1"/>
    <n v="0"/>
    <s v="Unnamed ProjectOPERADOR_LIXADEIRAInstantaneous Utilization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1"/>
    <x v="1"/>
    <x v="1"/>
    <x v="0"/>
    <n v="0.72290834012351401"/>
    <n v="2E+20"/>
    <n v="0"/>
    <n v="1"/>
    <n v="1"/>
    <n v="0"/>
    <s v="Unnamed ProjectOPERADOR_LIXADEIRANumber Busy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1"/>
    <x v="1"/>
    <x v="2"/>
    <x v="0"/>
    <n v="1"/>
    <n v="2E+20"/>
    <n v="1"/>
    <n v="1"/>
    <n v="1"/>
    <n v="0"/>
    <s v="Unnamed ProjectOPERADOR_LIXADEIRANumber ScheduledResource"/>
    <n v="10"/>
    <n v="1"/>
    <n v="0"/>
    <n v="0.95"/>
    <n v="0"/>
    <n v="1"/>
    <n v="1"/>
    <n v="0"/>
  </r>
  <r>
    <x v="0"/>
    <s v="2022-12-22 20:16:34"/>
    <n v="1"/>
    <x v="2"/>
    <x v="0"/>
    <x v="0"/>
    <n v="0.73992577614381105"/>
    <n v="2E+20"/>
    <n v="0"/>
    <n v="1"/>
    <n v="1"/>
    <n v="0"/>
    <s v="Unnamed ProjectOPERADOR_TORNOInstantaneous Utilization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1"/>
    <x v="2"/>
    <x v="1"/>
    <x v="0"/>
    <n v="0.73992577614381105"/>
    <n v="2E+20"/>
    <n v="0"/>
    <n v="1"/>
    <n v="1"/>
    <n v="0"/>
    <s v="Unnamed ProjectOPERADOR_TORNONumber Busy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1"/>
    <x v="2"/>
    <x v="2"/>
    <x v="0"/>
    <n v="1"/>
    <n v="2E+20"/>
    <n v="1"/>
    <n v="1"/>
    <n v="1"/>
    <n v="0"/>
    <s v="Unnamed ProjectOPERADOR_TORNONumber ScheduledResource"/>
    <n v="10"/>
    <n v="1"/>
    <n v="0"/>
    <n v="0.95"/>
    <n v="0"/>
    <n v="1"/>
    <n v="1"/>
    <n v="0"/>
  </r>
  <r>
    <x v="0"/>
    <s v="2022-12-22 20:16:34"/>
    <n v="1"/>
    <x v="3"/>
    <x v="3"/>
    <x v="1"/>
    <n v="0"/>
    <n v="2E+20"/>
    <n v="0"/>
    <n v="1"/>
    <n v="0"/>
    <n v="0"/>
    <s v="Unnamed ProjectPECAWIPEntity"/>
    <n v="10"/>
    <n v="0"/>
    <n v="0"/>
    <n v="0.95"/>
    <n v="0"/>
    <n v="0"/>
    <n v="0"/>
    <n v="0"/>
  </r>
  <r>
    <x v="0"/>
    <s v="2022-12-22 20:16:34"/>
    <n v="1"/>
    <x v="4"/>
    <x v="3"/>
    <x v="1"/>
    <n v="0.98154666306801797"/>
    <n v="2E+20"/>
    <n v="0"/>
    <n v="3"/>
    <n v="3"/>
    <n v="0"/>
    <s v="Unnamed ProjectPICTURE_AZULWIPEntity"/>
    <n v="10"/>
    <n v="1.7449219173007218"/>
    <n v="1.1636100327840786"/>
    <n v="0.95"/>
    <n v="0.8323964728088421"/>
    <n v="0.61587295107649098"/>
    <n v="4.62111418248214"/>
    <n v="0.8323964728088421"/>
  </r>
  <r>
    <x v="0"/>
    <s v="2022-12-22 20:16:34"/>
    <n v="1"/>
    <x v="5"/>
    <x v="3"/>
    <x v="1"/>
    <n v="2.0019544179848499"/>
    <n v="2E+20"/>
    <n v="0"/>
    <n v="5"/>
    <n v="5"/>
    <n v="0"/>
    <s v="Unnamed ProjectPICTURE_VERDEWIPEntity"/>
    <n v="10"/>
    <n v="1.4932618444780983"/>
    <n v="0.52254145076226866"/>
    <n v="0.95"/>
    <n v="0.37380363545871892"/>
    <n v="0.96966120558496105"/>
    <n v="2.4913718530767301"/>
    <n v="0.37380363545871892"/>
  </r>
  <r>
    <x v="0"/>
    <s v="2022-12-22 20:16:34"/>
    <n v="1"/>
    <x v="6"/>
    <x v="3"/>
    <x v="1"/>
    <n v="1.57783570146554"/>
    <n v="2E+20"/>
    <n v="0"/>
    <n v="4"/>
    <n v="4"/>
    <n v="0"/>
    <s v="Unnamed ProjectPICTURE_VERMELHOWIPEntity"/>
    <n v="10"/>
    <n v="1.4286586600337643"/>
    <n v="0.75640588530896835"/>
    <n v="0.95"/>
    <n v="0.54110017377262498"/>
    <n v="0.67509473200672698"/>
    <n v="3.2826442810797798"/>
    <n v="0.54110017377262498"/>
  </r>
  <r>
    <x v="0"/>
    <s v="2022-12-22 20:16:34"/>
    <n v="1"/>
    <x v="7"/>
    <x v="4"/>
    <x v="2"/>
    <n v="1.3344747615452"/>
    <n v="2E+20"/>
    <n v="0"/>
    <n v="5"/>
    <n v="5"/>
    <n v="0"/>
    <s v="Unnamed ProjectProcesso Cortadeira.QueueNumber WaitingQueue"/>
    <n v="10"/>
    <n v="0.53038558221716525"/>
    <n v="0.39245895765901451"/>
    <n v="0.95"/>
    <n v="0.28074822567142471"/>
    <n v="9.2510237370042006E-2"/>
    <n v="1.3344747615452"/>
    <n v="0.28074822567142471"/>
  </r>
  <r>
    <x v="0"/>
    <s v="2022-12-22 20:16:34"/>
    <n v="1"/>
    <x v="8"/>
    <x v="4"/>
    <x v="2"/>
    <n v="0.18806912332758099"/>
    <n v="2E+20"/>
    <n v="0"/>
    <n v="1"/>
    <n v="0"/>
    <n v="0"/>
    <s v="Unnamed ProjectProcesso Lixadeira.QueueNumber WaitingQueue"/>
    <n v="10"/>
    <n v="0.2467605477410765"/>
    <n v="0.20931915451334221"/>
    <n v="0.95"/>
    <n v="0.14973790273305995"/>
    <n v="2.27129878205608E-2"/>
    <n v="0.74764143964657803"/>
    <n v="0.14973790273305995"/>
  </r>
  <r>
    <x v="0"/>
    <s v="2022-12-22 20:16:34"/>
    <n v="1"/>
    <x v="9"/>
    <x v="4"/>
    <x v="2"/>
    <n v="0.57324150028629495"/>
    <n v="2E+20"/>
    <n v="0"/>
    <n v="4"/>
    <n v="4"/>
    <n v="0"/>
    <s v="Unnamed ProjectProcesso Torno.QueueNumber WaitingQueue"/>
    <n v="10"/>
    <n v="1.548257740428852"/>
    <n v="1.5672595927449962"/>
    <n v="0.95"/>
    <n v="1.1211499731189045"/>
    <n v="0.40125442877856599"/>
    <n v="5.62509510911375"/>
    <n v="1.1211499731189045"/>
  </r>
  <r>
    <x v="0"/>
    <s v="2022-12-22 20:16:34"/>
    <n v="2"/>
    <x v="0"/>
    <x v="0"/>
    <x v="0"/>
    <n v="0.58475861044950805"/>
    <n v="2E+20"/>
    <n v="0"/>
    <n v="1"/>
    <n v="0"/>
    <n v="0"/>
    <s v="Unnamed ProjectOPERADOR_CORTEInstantaneous Utilization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2"/>
    <x v="0"/>
    <x v="1"/>
    <x v="0"/>
    <n v="0.58475861044950805"/>
    <n v="2E+20"/>
    <n v="0"/>
    <n v="1"/>
    <n v="0"/>
    <n v="0"/>
    <s v="Unnamed ProjectOPERADOR_CORTENumber Busy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2"/>
    <x v="0"/>
    <x v="2"/>
    <x v="0"/>
    <n v="1"/>
    <n v="2E+20"/>
    <n v="1"/>
    <n v="1"/>
    <n v="1"/>
    <n v="0"/>
    <s v="Unnamed ProjectOPERADOR_CORTENumber ScheduledResource"/>
    <n v="10"/>
    <n v="1"/>
    <n v="0"/>
    <n v="0.95"/>
    <n v="0"/>
    <n v="1"/>
    <n v="1"/>
    <n v="0"/>
  </r>
  <r>
    <x v="0"/>
    <s v="2022-12-22 20:16:34"/>
    <n v="2"/>
    <x v="1"/>
    <x v="0"/>
    <x v="0"/>
    <n v="0.54490714253019401"/>
    <n v="2E+20"/>
    <n v="0"/>
    <n v="1"/>
    <n v="1"/>
    <n v="0"/>
    <s v="Unnamed ProjectOPERADOR_LIXADEIRAInstantaneous Utilization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2"/>
    <x v="1"/>
    <x v="1"/>
    <x v="0"/>
    <n v="0.54490714253019401"/>
    <n v="2E+20"/>
    <n v="0"/>
    <n v="1"/>
    <n v="1"/>
    <n v="0"/>
    <s v="Unnamed ProjectOPERADOR_LIXADEIRANumber Busy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2"/>
    <x v="1"/>
    <x v="2"/>
    <x v="0"/>
    <n v="1"/>
    <n v="2E+20"/>
    <n v="1"/>
    <n v="1"/>
    <n v="1"/>
    <n v="0"/>
    <s v="Unnamed ProjectOPERADOR_LIXADEIRANumber ScheduledResource"/>
    <n v="10"/>
    <n v="1"/>
    <n v="0"/>
    <n v="0.95"/>
    <n v="0"/>
    <n v="1"/>
    <n v="1"/>
    <n v="0"/>
  </r>
  <r>
    <x v="0"/>
    <s v="2022-12-22 20:16:34"/>
    <n v="2"/>
    <x v="2"/>
    <x v="0"/>
    <x v="0"/>
    <n v="0.92083324630187702"/>
    <n v="2E+20"/>
    <n v="0"/>
    <n v="1"/>
    <n v="1"/>
    <n v="0"/>
    <s v="Unnamed ProjectOPERADOR_TORNOInstantaneous Utilization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2"/>
    <x v="2"/>
    <x v="1"/>
    <x v="0"/>
    <n v="0.92083324630187702"/>
    <n v="2E+20"/>
    <n v="0"/>
    <n v="1"/>
    <n v="1"/>
    <n v="0"/>
    <s v="Unnamed ProjectOPERADOR_TORNONumber Busy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2"/>
    <x v="2"/>
    <x v="2"/>
    <x v="0"/>
    <n v="1"/>
    <n v="2E+20"/>
    <n v="1"/>
    <n v="1"/>
    <n v="1"/>
    <n v="0"/>
    <s v="Unnamed ProjectOPERADOR_TORNONumber ScheduledResource"/>
    <n v="10"/>
    <n v="1"/>
    <n v="0"/>
    <n v="0.95"/>
    <n v="0"/>
    <n v="1"/>
    <n v="1"/>
    <n v="0"/>
  </r>
  <r>
    <x v="0"/>
    <s v="2022-12-22 20:16:34"/>
    <n v="2"/>
    <x v="3"/>
    <x v="3"/>
    <x v="1"/>
    <n v="0"/>
    <n v="2E+20"/>
    <n v="0"/>
    <n v="1"/>
    <n v="0"/>
    <n v="0"/>
    <s v="Unnamed ProjectPECAWIPEntity"/>
    <n v="10"/>
    <n v="0"/>
    <n v="0"/>
    <n v="0.95"/>
    <n v="0"/>
    <n v="0"/>
    <n v="0"/>
    <n v="0"/>
  </r>
  <r>
    <x v="0"/>
    <s v="2022-12-22 20:16:34"/>
    <n v="2"/>
    <x v="4"/>
    <x v="3"/>
    <x v="1"/>
    <n v="1.5063014969686801"/>
    <n v="2E+20"/>
    <n v="0"/>
    <n v="4"/>
    <n v="1"/>
    <n v="0"/>
    <s v="Unnamed ProjectPICTURE_AZULWIPEntity"/>
    <n v="10"/>
    <n v="1.7449219173007218"/>
    <n v="1.1636100327840786"/>
    <n v="0.95"/>
    <n v="0.8323964728088421"/>
    <n v="0.61587295107649098"/>
    <n v="4.62111418248214"/>
    <n v="0.8323964728088421"/>
  </r>
  <r>
    <x v="0"/>
    <s v="2022-12-22 20:16:34"/>
    <n v="2"/>
    <x v="5"/>
    <x v="3"/>
    <x v="1"/>
    <n v="0.97353228698918304"/>
    <n v="2E+20"/>
    <n v="0"/>
    <n v="3"/>
    <n v="1"/>
    <n v="0"/>
    <s v="Unnamed ProjectPICTURE_VERDEWIPEntity"/>
    <n v="10"/>
    <n v="1.4932618444780983"/>
    <n v="0.52254145076226866"/>
    <n v="0.95"/>
    <n v="0.37380363545871892"/>
    <n v="0.96966120558496105"/>
    <n v="2.4913718530767301"/>
    <n v="0.37380363545871892"/>
  </r>
  <r>
    <x v="0"/>
    <s v="2022-12-22 20:16:34"/>
    <n v="2"/>
    <x v="6"/>
    <x v="3"/>
    <x v="1"/>
    <n v="1.4730982266302699"/>
    <n v="2E+20"/>
    <n v="0"/>
    <n v="3"/>
    <n v="0"/>
    <n v="0"/>
    <s v="Unnamed ProjectPICTURE_VERMELHOWIPEntity"/>
    <n v="10"/>
    <n v="1.4286586600337643"/>
    <n v="0.75640588530896835"/>
    <n v="0.95"/>
    <n v="0.54110017377262498"/>
    <n v="0.67509473200672698"/>
    <n v="3.2826442810797798"/>
    <n v="0.54110017377262498"/>
  </r>
  <r>
    <x v="0"/>
    <s v="2022-12-22 20:16:34"/>
    <n v="2"/>
    <x v="7"/>
    <x v="4"/>
    <x v="2"/>
    <n v="0.28610897951796499"/>
    <n v="2E+20"/>
    <n v="0"/>
    <n v="2"/>
    <n v="0"/>
    <n v="0"/>
    <s v="Unnamed ProjectProcesso Cortadeira.QueueNumber WaitingQueue"/>
    <n v="10"/>
    <n v="0.53038558221716525"/>
    <n v="0.39245895765901451"/>
    <n v="0.95"/>
    <n v="0.28074822567142471"/>
    <n v="9.2510237370042006E-2"/>
    <n v="1.3344747615452"/>
    <n v="0.28074822567142471"/>
  </r>
  <r>
    <x v="0"/>
    <s v="2022-12-22 20:16:34"/>
    <n v="2"/>
    <x v="8"/>
    <x v="4"/>
    <x v="2"/>
    <n v="0.108805326725288"/>
    <n v="2E+20"/>
    <n v="0"/>
    <n v="1"/>
    <n v="0"/>
    <n v="0"/>
    <s v="Unnamed ProjectProcesso Lixadeira.QueueNumber WaitingQueue"/>
    <n v="10"/>
    <n v="0.2467605477410765"/>
    <n v="0.20931915451334221"/>
    <n v="0.95"/>
    <n v="0.14973790273305995"/>
    <n v="2.27129878205608E-2"/>
    <n v="0.74764143964657803"/>
    <n v="0.14973790273305995"/>
  </r>
  <r>
    <x v="0"/>
    <s v="2022-12-22 20:16:34"/>
    <n v="2"/>
    <x v="9"/>
    <x v="4"/>
    <x v="2"/>
    <n v="1.2875187050632899"/>
    <n v="2E+20"/>
    <n v="0"/>
    <n v="4"/>
    <n v="0"/>
    <n v="0"/>
    <s v="Unnamed ProjectProcesso Torno.QueueNumber WaitingQueue"/>
    <n v="10"/>
    <n v="1.548257740428852"/>
    <n v="1.5672595927449962"/>
    <n v="0.95"/>
    <n v="1.1211499731189045"/>
    <n v="0.40125442877856599"/>
    <n v="5.62509510911375"/>
    <n v="1.1211499731189045"/>
  </r>
  <r>
    <x v="0"/>
    <s v="2022-12-22 20:16:34"/>
    <n v="3"/>
    <x v="0"/>
    <x v="0"/>
    <x v="0"/>
    <n v="0.90373198712706704"/>
    <n v="2E+20"/>
    <n v="0"/>
    <n v="1"/>
    <n v="1"/>
    <n v="0"/>
    <s v="Unnamed ProjectOPERADOR_CORTEInstantaneous Utilization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3"/>
    <x v="0"/>
    <x v="1"/>
    <x v="0"/>
    <n v="0.90373198712706704"/>
    <n v="2E+20"/>
    <n v="0"/>
    <n v="1"/>
    <n v="1"/>
    <n v="0"/>
    <s v="Unnamed ProjectOPERADOR_CORTENumber Busy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3"/>
    <x v="0"/>
    <x v="2"/>
    <x v="0"/>
    <n v="1"/>
    <n v="2E+20"/>
    <n v="1"/>
    <n v="1"/>
    <n v="1"/>
    <n v="0"/>
    <s v="Unnamed ProjectOPERADOR_CORTENumber ScheduledResource"/>
    <n v="10"/>
    <n v="1"/>
    <n v="0"/>
    <n v="0.95"/>
    <n v="0"/>
    <n v="1"/>
    <n v="1"/>
    <n v="0"/>
  </r>
  <r>
    <x v="0"/>
    <s v="2022-12-22 20:16:34"/>
    <n v="3"/>
    <x v="1"/>
    <x v="0"/>
    <x v="0"/>
    <n v="0.62082413300639605"/>
    <n v="2E+20"/>
    <n v="0"/>
    <n v="1"/>
    <n v="1"/>
    <n v="0"/>
    <s v="Unnamed ProjectOPERADOR_LIXADEIRAInstantaneous Utilization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3"/>
    <x v="1"/>
    <x v="1"/>
    <x v="0"/>
    <n v="0.62082413300639605"/>
    <n v="2E+20"/>
    <n v="0"/>
    <n v="1"/>
    <n v="1"/>
    <n v="0"/>
    <s v="Unnamed ProjectOPERADOR_LIXADEIRANumber Busy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3"/>
    <x v="1"/>
    <x v="2"/>
    <x v="0"/>
    <n v="1"/>
    <n v="2E+20"/>
    <n v="1"/>
    <n v="1"/>
    <n v="1"/>
    <n v="0"/>
    <s v="Unnamed ProjectOPERADOR_LIXADEIRANumber ScheduledResource"/>
    <n v="10"/>
    <n v="1"/>
    <n v="0"/>
    <n v="0.95"/>
    <n v="0"/>
    <n v="1"/>
    <n v="1"/>
    <n v="0"/>
  </r>
  <r>
    <x v="0"/>
    <s v="2022-12-22 20:16:34"/>
    <n v="3"/>
    <x v="2"/>
    <x v="0"/>
    <x v="0"/>
    <n v="0.95388746541192004"/>
    <n v="2E+20"/>
    <n v="0"/>
    <n v="1"/>
    <n v="1"/>
    <n v="0"/>
    <s v="Unnamed ProjectOPERADOR_TORNOInstantaneous Utilization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3"/>
    <x v="2"/>
    <x v="1"/>
    <x v="0"/>
    <n v="0.95388746541192004"/>
    <n v="2E+20"/>
    <n v="0"/>
    <n v="1"/>
    <n v="1"/>
    <n v="0"/>
    <s v="Unnamed ProjectOPERADOR_TORNONumber Busy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3"/>
    <x v="2"/>
    <x v="2"/>
    <x v="0"/>
    <n v="1"/>
    <n v="2E+20"/>
    <n v="1"/>
    <n v="1"/>
    <n v="1"/>
    <n v="0"/>
    <s v="Unnamed ProjectOPERADOR_TORNONumber ScheduledResource"/>
    <n v="10"/>
    <n v="1"/>
    <n v="0"/>
    <n v="0.95"/>
    <n v="0"/>
    <n v="1"/>
    <n v="1"/>
    <n v="0"/>
  </r>
  <r>
    <x v="0"/>
    <s v="2022-12-22 20:16:34"/>
    <n v="3"/>
    <x v="3"/>
    <x v="3"/>
    <x v="1"/>
    <n v="0"/>
    <n v="2E+20"/>
    <n v="0"/>
    <n v="1"/>
    <n v="0"/>
    <n v="0"/>
    <s v="Unnamed ProjectPECAWIPEntity"/>
    <n v="10"/>
    <n v="0"/>
    <n v="0"/>
    <n v="0.95"/>
    <n v="0"/>
    <n v="0"/>
    <n v="0"/>
    <n v="0"/>
  </r>
  <r>
    <x v="0"/>
    <s v="2022-12-22 20:16:34"/>
    <n v="3"/>
    <x v="4"/>
    <x v="3"/>
    <x v="1"/>
    <n v="4.62111418248214"/>
    <n v="2E+20"/>
    <n v="0"/>
    <n v="7"/>
    <n v="7"/>
    <n v="0"/>
    <s v="Unnamed ProjectPICTURE_AZULWIPEntity"/>
    <n v="10"/>
    <n v="1.7449219173007218"/>
    <n v="1.1636100327840786"/>
    <n v="0.95"/>
    <n v="0.8323964728088421"/>
    <n v="0.61587295107649098"/>
    <n v="4.62111418248214"/>
    <n v="0.8323964728088421"/>
  </r>
  <r>
    <x v="0"/>
    <s v="2022-12-22 20:16:34"/>
    <n v="3"/>
    <x v="5"/>
    <x v="3"/>
    <x v="1"/>
    <n v="1.78223802117351"/>
    <n v="2E+20"/>
    <n v="0"/>
    <n v="3"/>
    <n v="3"/>
    <n v="0"/>
    <s v="Unnamed ProjectPICTURE_VERDEWIPEntity"/>
    <n v="10"/>
    <n v="1.4932618444780983"/>
    <n v="0.52254145076226866"/>
    <n v="0.95"/>
    <n v="0.37380363545871892"/>
    <n v="0.96966120558496105"/>
    <n v="2.4913718530767301"/>
    <n v="0.37380363545871892"/>
  </r>
  <r>
    <x v="0"/>
    <s v="2022-12-22 20:16:34"/>
    <n v="3"/>
    <x v="6"/>
    <x v="3"/>
    <x v="1"/>
    <n v="3.2826442810797798"/>
    <n v="2E+20"/>
    <n v="0"/>
    <n v="7"/>
    <n v="5"/>
    <n v="0"/>
    <s v="Unnamed ProjectPICTURE_VERMELHOWIPEntity"/>
    <n v="10"/>
    <n v="1.4286586600337643"/>
    <n v="0.75640588530896835"/>
    <n v="0.95"/>
    <n v="0.54110017377262498"/>
    <n v="0.67509473200672698"/>
    <n v="3.2826442810797798"/>
    <n v="0.54110017377262498"/>
  </r>
  <r>
    <x v="0"/>
    <s v="2022-12-22 20:16:34"/>
    <n v="3"/>
    <x v="7"/>
    <x v="4"/>
    <x v="2"/>
    <n v="1.0511603748162599"/>
    <n v="2E+20"/>
    <n v="0"/>
    <n v="4"/>
    <n v="0"/>
    <n v="0"/>
    <s v="Unnamed ProjectProcesso Cortadeira.QueueNumber WaitingQueue"/>
    <n v="10"/>
    <n v="0.53038558221716525"/>
    <n v="0.39245895765901451"/>
    <n v="0.95"/>
    <n v="0.28074822567142471"/>
    <n v="9.2510237370042006E-2"/>
    <n v="1.3344747615452"/>
    <n v="0.28074822567142471"/>
  </r>
  <r>
    <x v="0"/>
    <s v="2022-12-22 20:16:34"/>
    <n v="3"/>
    <x v="8"/>
    <x v="4"/>
    <x v="2"/>
    <n v="0.227964081926703"/>
    <n v="2E+20"/>
    <n v="0"/>
    <n v="2"/>
    <n v="1"/>
    <n v="0"/>
    <s v="Unnamed ProjectProcesso Lixadeira.QueueNumber WaitingQueue"/>
    <n v="10"/>
    <n v="0.2467605477410765"/>
    <n v="0.20931915451334221"/>
    <n v="0.95"/>
    <n v="0.14973790273305995"/>
    <n v="2.27129878205608E-2"/>
    <n v="0.74764143964657803"/>
    <n v="0.14973790273305995"/>
  </r>
  <r>
    <x v="0"/>
    <s v="2022-12-22 20:16:34"/>
    <n v="3"/>
    <x v="9"/>
    <x v="4"/>
    <x v="2"/>
    <n v="5.62509510911375"/>
    <n v="2E+20"/>
    <n v="0"/>
    <n v="11"/>
    <n v="11"/>
    <n v="0"/>
    <s v="Unnamed ProjectProcesso Torno.QueueNumber WaitingQueue"/>
    <n v="10"/>
    <n v="1.548257740428852"/>
    <n v="1.5672595927449962"/>
    <n v="0.95"/>
    <n v="1.1211499731189045"/>
    <n v="0.40125442877856599"/>
    <n v="5.62509510911375"/>
    <n v="1.1211499731189045"/>
  </r>
  <r>
    <x v="0"/>
    <s v="2022-12-22 20:16:34"/>
    <n v="4"/>
    <x v="0"/>
    <x v="0"/>
    <x v="0"/>
    <n v="0.65378036651555205"/>
    <n v="2E+20"/>
    <n v="0"/>
    <n v="1"/>
    <n v="0"/>
    <n v="0"/>
    <s v="Unnamed ProjectOPERADOR_CORTEInstantaneous Utilization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4"/>
    <x v="0"/>
    <x v="1"/>
    <x v="0"/>
    <n v="0.65378036651555205"/>
    <n v="2E+20"/>
    <n v="0"/>
    <n v="1"/>
    <n v="0"/>
    <n v="0"/>
    <s v="Unnamed ProjectOPERADOR_CORTENumber Busy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4"/>
    <x v="0"/>
    <x v="2"/>
    <x v="0"/>
    <n v="1"/>
    <n v="2E+20"/>
    <n v="1"/>
    <n v="1"/>
    <n v="1"/>
    <n v="0"/>
    <s v="Unnamed ProjectOPERADOR_CORTENumber ScheduledResource"/>
    <n v="10"/>
    <n v="1"/>
    <n v="0"/>
    <n v="0.95"/>
    <n v="0"/>
    <n v="1"/>
    <n v="1"/>
    <n v="0"/>
  </r>
  <r>
    <x v="0"/>
    <s v="2022-12-22 20:16:34"/>
    <n v="4"/>
    <x v="1"/>
    <x v="0"/>
    <x v="0"/>
    <n v="0.69758427425955605"/>
    <n v="2E+20"/>
    <n v="0"/>
    <n v="1"/>
    <n v="0"/>
    <n v="0"/>
    <s v="Unnamed ProjectOPERADOR_LIXADEIRAInstantaneous Utilization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4"/>
    <x v="1"/>
    <x v="1"/>
    <x v="0"/>
    <n v="0.69758427425955605"/>
    <n v="2E+20"/>
    <n v="0"/>
    <n v="1"/>
    <n v="0"/>
    <n v="0"/>
    <s v="Unnamed ProjectOPERADOR_LIXADEIRANumber Busy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4"/>
    <x v="1"/>
    <x v="2"/>
    <x v="0"/>
    <n v="1"/>
    <n v="2E+20"/>
    <n v="1"/>
    <n v="1"/>
    <n v="1"/>
    <n v="0"/>
    <s v="Unnamed ProjectOPERADOR_LIXADEIRANumber ScheduledResource"/>
    <n v="10"/>
    <n v="1"/>
    <n v="0"/>
    <n v="0.95"/>
    <n v="0"/>
    <n v="1"/>
    <n v="1"/>
    <n v="0"/>
  </r>
  <r>
    <x v="0"/>
    <s v="2022-12-22 20:16:34"/>
    <n v="4"/>
    <x v="2"/>
    <x v="0"/>
    <x v="0"/>
    <n v="0.83254347548485497"/>
    <n v="2E+20"/>
    <n v="0"/>
    <n v="1"/>
    <n v="1"/>
    <n v="0"/>
    <s v="Unnamed ProjectOPERADOR_TORNOInstantaneous Utilization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4"/>
    <x v="2"/>
    <x v="1"/>
    <x v="0"/>
    <n v="0.83254347548485497"/>
    <n v="2E+20"/>
    <n v="0"/>
    <n v="1"/>
    <n v="1"/>
    <n v="0"/>
    <s v="Unnamed ProjectOPERADOR_TORNONumber Busy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4"/>
    <x v="2"/>
    <x v="2"/>
    <x v="0"/>
    <n v="1"/>
    <n v="2E+20"/>
    <n v="1"/>
    <n v="1"/>
    <n v="1"/>
    <n v="0"/>
    <s v="Unnamed ProjectOPERADOR_TORNONumber ScheduledResource"/>
    <n v="10"/>
    <n v="1"/>
    <n v="0"/>
    <n v="0.95"/>
    <n v="0"/>
    <n v="1"/>
    <n v="1"/>
    <n v="0"/>
  </r>
  <r>
    <x v="0"/>
    <s v="2022-12-22 20:16:34"/>
    <n v="4"/>
    <x v="3"/>
    <x v="3"/>
    <x v="1"/>
    <n v="0"/>
    <n v="2E+20"/>
    <n v="0"/>
    <n v="1"/>
    <n v="0"/>
    <n v="0"/>
    <s v="Unnamed ProjectPECAWIPEntity"/>
    <n v="10"/>
    <n v="0"/>
    <n v="0"/>
    <n v="0.95"/>
    <n v="0"/>
    <n v="0"/>
    <n v="0"/>
    <n v="0"/>
  </r>
  <r>
    <x v="0"/>
    <s v="2022-12-22 20:16:34"/>
    <n v="4"/>
    <x v="4"/>
    <x v="3"/>
    <x v="1"/>
    <n v="1.3908820569653499"/>
    <n v="2E+20"/>
    <n v="0"/>
    <n v="4"/>
    <n v="3"/>
    <n v="0"/>
    <s v="Unnamed ProjectPICTURE_AZULWIPEntity"/>
    <n v="10"/>
    <n v="1.7449219173007218"/>
    <n v="1.1636100327840786"/>
    <n v="0.95"/>
    <n v="0.8323964728088421"/>
    <n v="0.61587295107649098"/>
    <n v="4.62111418248214"/>
    <n v="0.8323964728088421"/>
  </r>
  <r>
    <x v="0"/>
    <s v="2022-12-22 20:16:34"/>
    <n v="4"/>
    <x v="5"/>
    <x v="3"/>
    <x v="1"/>
    <n v="1.9183357585044101"/>
    <n v="2E+20"/>
    <n v="0"/>
    <n v="5"/>
    <n v="1"/>
    <n v="0"/>
    <s v="Unnamed ProjectPICTURE_VERDEWIPEntity"/>
    <n v="10"/>
    <n v="1.4932618444780983"/>
    <n v="0.52254145076226866"/>
    <n v="0.95"/>
    <n v="0.37380363545871892"/>
    <n v="0.96966120558496105"/>
    <n v="2.4913718530767301"/>
    <n v="0.37380363545871892"/>
  </r>
  <r>
    <x v="0"/>
    <s v="2022-12-22 20:16:34"/>
    <n v="4"/>
    <x v="6"/>
    <x v="3"/>
    <x v="1"/>
    <n v="0.67509473200672698"/>
    <n v="2E+20"/>
    <n v="0"/>
    <n v="1"/>
    <n v="0"/>
    <n v="0"/>
    <s v="Unnamed ProjectPICTURE_VERMELHOWIPEntity"/>
    <n v="10"/>
    <n v="1.4286586600337643"/>
    <n v="0.75640588530896835"/>
    <n v="0.95"/>
    <n v="0.54110017377262498"/>
    <n v="0.67509473200672698"/>
    <n v="3.2826442810797798"/>
    <n v="0.54110017377262498"/>
  </r>
  <r>
    <x v="0"/>
    <s v="2022-12-22 20:16:34"/>
    <n v="4"/>
    <x v="7"/>
    <x v="4"/>
    <x v="2"/>
    <n v="0.32918032667587099"/>
    <n v="2E+20"/>
    <n v="0"/>
    <n v="2"/>
    <n v="0"/>
    <n v="0"/>
    <s v="Unnamed ProjectProcesso Cortadeira.QueueNumber WaitingQueue"/>
    <n v="10"/>
    <n v="0.53038558221716525"/>
    <n v="0.39245895765901451"/>
    <n v="0.95"/>
    <n v="0.28074822567142471"/>
    <n v="9.2510237370042006E-2"/>
    <n v="1.3344747615452"/>
    <n v="0.28074822567142471"/>
  </r>
  <r>
    <x v="0"/>
    <s v="2022-12-22 20:16:34"/>
    <n v="4"/>
    <x v="8"/>
    <x v="4"/>
    <x v="2"/>
    <n v="0.450820727543158"/>
    <n v="2E+20"/>
    <n v="0"/>
    <n v="2"/>
    <n v="0"/>
    <n v="0"/>
    <s v="Unnamed ProjectProcesso Lixadeira.QueueNumber WaitingQueue"/>
    <n v="10"/>
    <n v="0.2467605477410765"/>
    <n v="0.20931915451334221"/>
    <n v="0.95"/>
    <n v="0.14973790273305995"/>
    <n v="2.27129878205608E-2"/>
    <n v="0.74764143964657803"/>
    <n v="0.14973790273305995"/>
  </r>
  <r>
    <x v="0"/>
    <s v="2022-12-22 20:16:34"/>
    <n v="4"/>
    <x v="9"/>
    <x v="4"/>
    <x v="2"/>
    <n v="0.77659367202541696"/>
    <n v="2E+20"/>
    <n v="0"/>
    <n v="3"/>
    <n v="2"/>
    <n v="0"/>
    <s v="Unnamed ProjectProcesso Torno.QueueNumber WaitingQueue"/>
    <n v="10"/>
    <n v="1.548257740428852"/>
    <n v="1.5672595927449962"/>
    <n v="0.95"/>
    <n v="1.1211499731189045"/>
    <n v="0.40125442877856599"/>
    <n v="5.62509510911375"/>
    <n v="1.1211499731189045"/>
  </r>
  <r>
    <x v="0"/>
    <s v="2022-12-22 20:16:34"/>
    <n v="5"/>
    <x v="0"/>
    <x v="0"/>
    <x v="0"/>
    <n v="0.68255617492868403"/>
    <n v="2E+20"/>
    <n v="0"/>
    <n v="1"/>
    <n v="1"/>
    <n v="0"/>
    <s v="Unnamed ProjectOPERADOR_CORTEInstantaneous Utilization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5"/>
    <x v="0"/>
    <x v="1"/>
    <x v="0"/>
    <n v="0.68255617492868403"/>
    <n v="2E+20"/>
    <n v="0"/>
    <n v="1"/>
    <n v="1"/>
    <n v="0"/>
    <s v="Unnamed ProjectOPERADOR_CORTENumber Busy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5"/>
    <x v="0"/>
    <x v="2"/>
    <x v="0"/>
    <n v="1"/>
    <n v="2E+20"/>
    <n v="1"/>
    <n v="1"/>
    <n v="1"/>
    <n v="0"/>
    <s v="Unnamed ProjectOPERADOR_CORTENumber ScheduledResource"/>
    <n v="10"/>
    <n v="1"/>
    <n v="0"/>
    <n v="0.95"/>
    <n v="0"/>
    <n v="1"/>
    <n v="1"/>
    <n v="0"/>
  </r>
  <r>
    <x v="0"/>
    <s v="2022-12-22 20:16:34"/>
    <n v="5"/>
    <x v="1"/>
    <x v="0"/>
    <x v="0"/>
    <n v="0.58586692594735201"/>
    <n v="2E+20"/>
    <n v="0"/>
    <n v="1"/>
    <n v="1"/>
    <n v="0"/>
    <s v="Unnamed ProjectOPERADOR_LIXADEIRAInstantaneous Utilization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5"/>
    <x v="1"/>
    <x v="1"/>
    <x v="0"/>
    <n v="0.58586692594735201"/>
    <n v="2E+20"/>
    <n v="0"/>
    <n v="1"/>
    <n v="1"/>
    <n v="0"/>
    <s v="Unnamed ProjectOPERADOR_LIXADEIRANumber Busy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5"/>
    <x v="1"/>
    <x v="2"/>
    <x v="0"/>
    <n v="1"/>
    <n v="2E+20"/>
    <n v="1"/>
    <n v="1"/>
    <n v="1"/>
    <n v="0"/>
    <s v="Unnamed ProjectOPERADOR_LIXADEIRANumber ScheduledResource"/>
    <n v="10"/>
    <n v="1"/>
    <n v="0"/>
    <n v="0.95"/>
    <n v="0"/>
    <n v="1"/>
    <n v="1"/>
    <n v="0"/>
  </r>
  <r>
    <x v="0"/>
    <s v="2022-12-22 20:16:34"/>
    <n v="5"/>
    <x v="2"/>
    <x v="0"/>
    <x v="0"/>
    <n v="0.94296201788507406"/>
    <n v="2E+20"/>
    <n v="0"/>
    <n v="1"/>
    <n v="1"/>
    <n v="0"/>
    <s v="Unnamed ProjectOPERADOR_TORNOInstantaneous Utilization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5"/>
    <x v="2"/>
    <x v="1"/>
    <x v="0"/>
    <n v="0.94296201788507406"/>
    <n v="2E+20"/>
    <n v="0"/>
    <n v="1"/>
    <n v="1"/>
    <n v="0"/>
    <s v="Unnamed ProjectOPERADOR_TORNONumber Busy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5"/>
    <x v="2"/>
    <x v="2"/>
    <x v="0"/>
    <n v="1"/>
    <n v="2E+20"/>
    <n v="1"/>
    <n v="1"/>
    <n v="1"/>
    <n v="0"/>
    <s v="Unnamed ProjectOPERADOR_TORNONumber ScheduledResource"/>
    <n v="10"/>
    <n v="1"/>
    <n v="0"/>
    <n v="0.95"/>
    <n v="0"/>
    <n v="1"/>
    <n v="1"/>
    <n v="0"/>
  </r>
  <r>
    <x v="0"/>
    <s v="2022-12-22 20:16:34"/>
    <n v="5"/>
    <x v="3"/>
    <x v="3"/>
    <x v="1"/>
    <n v="0"/>
    <n v="2E+20"/>
    <n v="0"/>
    <n v="1"/>
    <n v="0"/>
    <n v="0"/>
    <s v="Unnamed ProjectPECAWIPEntity"/>
    <n v="10"/>
    <n v="0"/>
    <n v="0"/>
    <n v="0.95"/>
    <n v="0"/>
    <n v="0"/>
    <n v="0"/>
    <n v="0"/>
  </r>
  <r>
    <x v="0"/>
    <s v="2022-12-22 20:16:34"/>
    <n v="5"/>
    <x v="4"/>
    <x v="3"/>
    <x v="1"/>
    <n v="2.1901503035737502"/>
    <n v="2E+20"/>
    <n v="0"/>
    <n v="5"/>
    <n v="4"/>
    <n v="0"/>
    <s v="Unnamed ProjectPICTURE_AZULWIPEntity"/>
    <n v="10"/>
    <n v="1.7449219173007218"/>
    <n v="1.1636100327840786"/>
    <n v="0.95"/>
    <n v="0.8323964728088421"/>
    <n v="0.61587295107649098"/>
    <n v="4.62111418248214"/>
    <n v="0.8323964728088421"/>
  </r>
  <r>
    <x v="0"/>
    <s v="2022-12-22 20:16:34"/>
    <n v="5"/>
    <x v="5"/>
    <x v="3"/>
    <x v="1"/>
    <n v="1.23631413752723"/>
    <n v="2E+20"/>
    <n v="0"/>
    <n v="4"/>
    <n v="2"/>
    <n v="0"/>
    <s v="Unnamed ProjectPICTURE_VERDEWIPEntity"/>
    <n v="10"/>
    <n v="1.4932618444780983"/>
    <n v="0.52254145076226866"/>
    <n v="0.95"/>
    <n v="0.37380363545871892"/>
    <n v="0.96966120558496105"/>
    <n v="2.4913718530767301"/>
    <n v="0.37380363545871892"/>
  </r>
  <r>
    <x v="0"/>
    <s v="2022-12-22 20:16:34"/>
    <n v="5"/>
    <x v="6"/>
    <x v="3"/>
    <x v="1"/>
    <n v="1.8742679954772701"/>
    <n v="2E+20"/>
    <n v="0"/>
    <n v="4"/>
    <n v="2"/>
    <n v="0"/>
    <s v="Unnamed ProjectPICTURE_VERMELHOWIPEntity"/>
    <n v="10"/>
    <n v="1.4286586600337643"/>
    <n v="0.75640588530896835"/>
    <n v="0.95"/>
    <n v="0.54110017377262498"/>
    <n v="0.67509473200672698"/>
    <n v="3.2826442810797798"/>
    <n v="0.54110017377262498"/>
  </r>
  <r>
    <x v="0"/>
    <s v="2022-12-22 20:16:34"/>
    <n v="5"/>
    <x v="7"/>
    <x v="4"/>
    <x v="2"/>
    <n v="0.59149889725034999"/>
    <n v="2E+20"/>
    <n v="0"/>
    <n v="3"/>
    <n v="0"/>
    <n v="0"/>
    <s v="Unnamed ProjectProcesso Cortadeira.QueueNumber WaitingQueue"/>
    <n v="10"/>
    <n v="0.53038558221716525"/>
    <n v="0.39245895765901451"/>
    <n v="0.95"/>
    <n v="0.28074822567142471"/>
    <n v="9.2510237370042006E-2"/>
    <n v="1.3344747615452"/>
    <n v="0.28074822567142471"/>
  </r>
  <r>
    <x v="0"/>
    <s v="2022-12-22 20:16:34"/>
    <n v="5"/>
    <x v="8"/>
    <x v="4"/>
    <x v="2"/>
    <n v="0.20108325428509"/>
    <n v="2E+20"/>
    <n v="0"/>
    <n v="2"/>
    <n v="1"/>
    <n v="0"/>
    <s v="Unnamed ProjectProcesso Lixadeira.QueueNumber WaitingQueue"/>
    <n v="10"/>
    <n v="0.2467605477410765"/>
    <n v="0.20931915451334221"/>
    <n v="0.95"/>
    <n v="0.14973790273305995"/>
    <n v="2.27129878205608E-2"/>
    <n v="0.74764143964657803"/>
    <n v="0.14973790273305995"/>
  </r>
  <r>
    <x v="0"/>
    <s v="2022-12-22 20:16:34"/>
    <n v="5"/>
    <x v="9"/>
    <x v="4"/>
    <x v="2"/>
    <n v="2.03009849961503"/>
    <n v="2E+20"/>
    <n v="0"/>
    <n v="5"/>
    <n v="4"/>
    <n v="0"/>
    <s v="Unnamed ProjectProcesso Torno.QueueNumber WaitingQueue"/>
    <n v="10"/>
    <n v="1.548257740428852"/>
    <n v="1.5672595927449962"/>
    <n v="0.95"/>
    <n v="1.1211499731189045"/>
    <n v="0.40125442877856599"/>
    <n v="5.62509510911375"/>
    <n v="1.1211499731189045"/>
  </r>
  <r>
    <x v="0"/>
    <s v="2022-12-22 20:16:34"/>
    <n v="6"/>
    <x v="0"/>
    <x v="0"/>
    <x v="0"/>
    <n v="0.50548165778050103"/>
    <n v="2E+20"/>
    <n v="0"/>
    <n v="1"/>
    <n v="1"/>
    <n v="0"/>
    <s v="Unnamed ProjectOPERADOR_CORTEInstantaneous Utilization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6"/>
    <x v="0"/>
    <x v="1"/>
    <x v="0"/>
    <n v="0.50548165778050103"/>
    <n v="2E+20"/>
    <n v="0"/>
    <n v="1"/>
    <n v="1"/>
    <n v="0"/>
    <s v="Unnamed ProjectOPERADOR_CORTENumber Busy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6"/>
    <x v="0"/>
    <x v="2"/>
    <x v="0"/>
    <n v="1"/>
    <n v="2E+20"/>
    <n v="1"/>
    <n v="1"/>
    <n v="1"/>
    <n v="0"/>
    <s v="Unnamed ProjectOPERADOR_CORTENumber ScheduledResource"/>
    <n v="10"/>
    <n v="1"/>
    <n v="0"/>
    <n v="0.95"/>
    <n v="0"/>
    <n v="1"/>
    <n v="1"/>
    <n v="0"/>
  </r>
  <r>
    <x v="0"/>
    <s v="2022-12-22 20:16:34"/>
    <n v="6"/>
    <x v="1"/>
    <x v="0"/>
    <x v="0"/>
    <n v="0.515187936390896"/>
    <n v="2E+20"/>
    <n v="0"/>
    <n v="1"/>
    <n v="0"/>
    <n v="0"/>
    <s v="Unnamed ProjectOPERADOR_LIXADEIRAInstantaneous Utilization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6"/>
    <x v="1"/>
    <x v="1"/>
    <x v="0"/>
    <n v="0.515187936390896"/>
    <n v="2E+20"/>
    <n v="0"/>
    <n v="1"/>
    <n v="0"/>
    <n v="0"/>
    <s v="Unnamed ProjectOPERADOR_LIXADEIRANumber Busy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6"/>
    <x v="1"/>
    <x v="2"/>
    <x v="0"/>
    <n v="1"/>
    <n v="2E+20"/>
    <n v="1"/>
    <n v="1"/>
    <n v="1"/>
    <n v="0"/>
    <s v="Unnamed ProjectOPERADOR_LIXADEIRANumber ScheduledResource"/>
    <n v="10"/>
    <n v="1"/>
    <n v="0"/>
    <n v="0.95"/>
    <n v="0"/>
    <n v="1"/>
    <n v="1"/>
    <n v="0"/>
  </r>
  <r>
    <x v="0"/>
    <s v="2022-12-22 20:16:34"/>
    <n v="6"/>
    <x v="2"/>
    <x v="0"/>
    <x v="0"/>
    <n v="0.98397972672724299"/>
    <n v="2E+20"/>
    <n v="0"/>
    <n v="1"/>
    <n v="1"/>
    <n v="0"/>
    <s v="Unnamed ProjectOPERADOR_TORNOInstantaneous Utilization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6"/>
    <x v="2"/>
    <x v="1"/>
    <x v="0"/>
    <n v="0.98397972672724299"/>
    <n v="2E+20"/>
    <n v="0"/>
    <n v="1"/>
    <n v="1"/>
    <n v="0"/>
    <s v="Unnamed ProjectOPERADOR_TORNONumber Busy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6"/>
    <x v="2"/>
    <x v="2"/>
    <x v="0"/>
    <n v="1"/>
    <n v="2E+20"/>
    <n v="1"/>
    <n v="1"/>
    <n v="1"/>
    <n v="0"/>
    <s v="Unnamed ProjectOPERADOR_TORNONumber ScheduledResource"/>
    <n v="10"/>
    <n v="1"/>
    <n v="0"/>
    <n v="0.95"/>
    <n v="0"/>
    <n v="1"/>
    <n v="1"/>
    <n v="0"/>
  </r>
  <r>
    <x v="0"/>
    <s v="2022-12-22 20:16:34"/>
    <n v="6"/>
    <x v="3"/>
    <x v="3"/>
    <x v="1"/>
    <n v="0"/>
    <n v="2E+20"/>
    <n v="0"/>
    <n v="1"/>
    <n v="0"/>
    <n v="0"/>
    <s v="Unnamed ProjectPECAWIPEntity"/>
    <n v="10"/>
    <n v="0"/>
    <n v="0"/>
    <n v="0.95"/>
    <n v="0"/>
    <n v="0"/>
    <n v="0"/>
    <n v="0"/>
  </r>
  <r>
    <x v="0"/>
    <s v="2022-12-22 20:16:34"/>
    <n v="6"/>
    <x v="4"/>
    <x v="3"/>
    <x v="1"/>
    <n v="1.9226505752618701"/>
    <n v="2E+20"/>
    <n v="0"/>
    <n v="6"/>
    <n v="6"/>
    <n v="0"/>
    <s v="Unnamed ProjectPICTURE_AZULWIPEntity"/>
    <n v="10"/>
    <n v="1.7449219173007218"/>
    <n v="1.1636100327840786"/>
    <n v="0.95"/>
    <n v="0.8323964728088421"/>
    <n v="0.61587295107649098"/>
    <n v="4.62111418248214"/>
    <n v="0.8323964728088421"/>
  </r>
  <r>
    <x v="0"/>
    <s v="2022-12-22 20:16:34"/>
    <n v="6"/>
    <x v="5"/>
    <x v="3"/>
    <x v="1"/>
    <n v="0.96966120558496105"/>
    <n v="2E+20"/>
    <n v="0"/>
    <n v="4"/>
    <n v="1"/>
    <n v="0"/>
    <s v="Unnamed ProjectPICTURE_VERDEWIPEntity"/>
    <n v="10"/>
    <n v="1.4932618444780983"/>
    <n v="0.52254145076226866"/>
    <n v="0.95"/>
    <n v="0.37380363545871892"/>
    <n v="0.96966120558496105"/>
    <n v="2.4913718530767301"/>
    <n v="0.37380363545871892"/>
  </r>
  <r>
    <x v="0"/>
    <s v="2022-12-22 20:16:34"/>
    <n v="6"/>
    <x v="6"/>
    <x v="3"/>
    <x v="1"/>
    <n v="0.98276612327110102"/>
    <n v="2E+20"/>
    <n v="0"/>
    <n v="2"/>
    <n v="1"/>
    <n v="0"/>
    <s v="Unnamed ProjectPICTURE_VERMELHOWIPEntity"/>
    <n v="10"/>
    <n v="1.4286586600337643"/>
    <n v="0.75640588530896835"/>
    <n v="0.95"/>
    <n v="0.54110017377262498"/>
    <n v="0.67509473200672698"/>
    <n v="3.2826442810797798"/>
    <n v="0.54110017377262498"/>
  </r>
  <r>
    <x v="0"/>
    <s v="2022-12-22 20:16:34"/>
    <n v="6"/>
    <x v="7"/>
    <x v="4"/>
    <x v="2"/>
    <n v="0.13140938942347299"/>
    <n v="2E+20"/>
    <n v="0"/>
    <n v="2"/>
    <n v="0"/>
    <n v="0"/>
    <s v="Unnamed ProjectProcesso Cortadeira.QueueNumber WaitingQueue"/>
    <n v="10"/>
    <n v="0.53038558221716525"/>
    <n v="0.39245895765901451"/>
    <n v="0.95"/>
    <n v="0.28074822567142471"/>
    <n v="9.2510237370042006E-2"/>
    <n v="1.3344747615452"/>
    <n v="0.28074822567142471"/>
  </r>
  <r>
    <x v="0"/>
    <s v="2022-12-22 20:16:34"/>
    <n v="6"/>
    <x v="8"/>
    <x v="4"/>
    <x v="2"/>
    <n v="0.13908143611106399"/>
    <n v="2E+20"/>
    <n v="0"/>
    <n v="1"/>
    <n v="0"/>
    <n v="0"/>
    <s v="Unnamed ProjectProcesso Lixadeira.QueueNumber WaitingQueue"/>
    <n v="10"/>
    <n v="0.2467605477410765"/>
    <n v="0.20931915451334221"/>
    <n v="0.95"/>
    <n v="0.14973790273305995"/>
    <n v="2.27129878205608E-2"/>
    <n v="0.74764143964657803"/>
    <n v="0.14973790273305995"/>
  </r>
  <r>
    <x v="0"/>
    <s v="2022-12-22 20:16:34"/>
    <n v="6"/>
    <x v="9"/>
    <x v="4"/>
    <x v="2"/>
    <n v="1.3693395317527199"/>
    <n v="2E+20"/>
    <n v="0"/>
    <n v="5"/>
    <n v="5"/>
    <n v="0"/>
    <s v="Unnamed ProjectProcesso Torno.QueueNumber WaitingQueue"/>
    <n v="10"/>
    <n v="1.548257740428852"/>
    <n v="1.5672595927449962"/>
    <n v="0.95"/>
    <n v="1.1211499731189045"/>
    <n v="0.40125442877856599"/>
    <n v="5.62509510911375"/>
    <n v="1.1211499731189045"/>
  </r>
  <r>
    <x v="0"/>
    <s v="2022-12-22 20:16:34"/>
    <n v="7"/>
    <x v="0"/>
    <x v="0"/>
    <x v="0"/>
    <n v="0.54115693840619805"/>
    <n v="2E+20"/>
    <n v="0"/>
    <n v="1"/>
    <n v="1"/>
    <n v="0"/>
    <s v="Unnamed ProjectOPERADOR_CORTEInstantaneous Utilization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7"/>
    <x v="0"/>
    <x v="1"/>
    <x v="0"/>
    <n v="0.54115693840619805"/>
    <n v="2E+20"/>
    <n v="0"/>
    <n v="1"/>
    <n v="1"/>
    <n v="0"/>
    <s v="Unnamed ProjectOPERADOR_CORTENumber Busy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7"/>
    <x v="0"/>
    <x v="2"/>
    <x v="0"/>
    <n v="1"/>
    <n v="2E+20"/>
    <n v="1"/>
    <n v="1"/>
    <n v="1"/>
    <n v="0"/>
    <s v="Unnamed ProjectOPERADOR_CORTENumber ScheduledResource"/>
    <n v="10"/>
    <n v="1"/>
    <n v="0"/>
    <n v="0.95"/>
    <n v="0"/>
    <n v="1"/>
    <n v="1"/>
    <n v="0"/>
  </r>
  <r>
    <x v="0"/>
    <s v="2022-12-22 20:16:34"/>
    <n v="7"/>
    <x v="1"/>
    <x v="0"/>
    <x v="0"/>
    <n v="0.57814631873207301"/>
    <n v="2E+20"/>
    <n v="0"/>
    <n v="1"/>
    <n v="1"/>
    <n v="0"/>
    <s v="Unnamed ProjectOPERADOR_LIXADEIRAInstantaneous Utilization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7"/>
    <x v="1"/>
    <x v="1"/>
    <x v="0"/>
    <n v="0.57814631873207301"/>
    <n v="2E+20"/>
    <n v="0"/>
    <n v="1"/>
    <n v="1"/>
    <n v="0"/>
    <s v="Unnamed ProjectOPERADOR_LIXADEIRANumber Busy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7"/>
    <x v="1"/>
    <x v="2"/>
    <x v="0"/>
    <n v="1"/>
    <n v="2E+20"/>
    <n v="1"/>
    <n v="1"/>
    <n v="1"/>
    <n v="0"/>
    <s v="Unnamed ProjectOPERADOR_LIXADEIRANumber ScheduledResource"/>
    <n v="10"/>
    <n v="1"/>
    <n v="0"/>
    <n v="0.95"/>
    <n v="0"/>
    <n v="1"/>
    <n v="1"/>
    <n v="0"/>
  </r>
  <r>
    <x v="0"/>
    <s v="2022-12-22 20:16:34"/>
    <n v="7"/>
    <x v="2"/>
    <x v="0"/>
    <x v="0"/>
    <n v="0.51379543219592505"/>
    <n v="2E+20"/>
    <n v="0"/>
    <n v="1"/>
    <n v="1"/>
    <n v="0"/>
    <s v="Unnamed ProjectOPERADOR_TORNOInstantaneous Utilization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7"/>
    <x v="2"/>
    <x v="1"/>
    <x v="0"/>
    <n v="0.51379543219592505"/>
    <n v="2E+20"/>
    <n v="0"/>
    <n v="1"/>
    <n v="1"/>
    <n v="0"/>
    <s v="Unnamed ProjectOPERADOR_TORNONumber Busy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7"/>
    <x v="2"/>
    <x v="2"/>
    <x v="0"/>
    <n v="1"/>
    <n v="2E+20"/>
    <n v="1"/>
    <n v="1"/>
    <n v="1"/>
    <n v="0"/>
    <s v="Unnamed ProjectOPERADOR_TORNONumber ScheduledResource"/>
    <n v="10"/>
    <n v="1"/>
    <n v="0"/>
    <n v="0.95"/>
    <n v="0"/>
    <n v="1"/>
    <n v="1"/>
    <n v="0"/>
  </r>
  <r>
    <x v="0"/>
    <s v="2022-12-22 20:16:34"/>
    <n v="7"/>
    <x v="3"/>
    <x v="3"/>
    <x v="1"/>
    <n v="0"/>
    <n v="2E+20"/>
    <n v="0"/>
    <n v="1"/>
    <n v="0"/>
    <n v="0"/>
    <s v="Unnamed ProjectPECAWIPEntity"/>
    <n v="10"/>
    <n v="0"/>
    <n v="0"/>
    <n v="0.95"/>
    <n v="0"/>
    <n v="0"/>
    <n v="0"/>
    <n v="0"/>
  </r>
  <r>
    <x v="0"/>
    <s v="2022-12-22 20:16:34"/>
    <n v="7"/>
    <x v="4"/>
    <x v="3"/>
    <x v="1"/>
    <n v="0.61587295107649098"/>
    <n v="2E+20"/>
    <n v="0"/>
    <n v="3"/>
    <n v="1"/>
    <n v="0"/>
    <s v="Unnamed ProjectPICTURE_AZULWIPEntity"/>
    <n v="10"/>
    <n v="1.7449219173007218"/>
    <n v="1.1636100327840786"/>
    <n v="0.95"/>
    <n v="0.8323964728088421"/>
    <n v="0.61587295107649098"/>
    <n v="4.62111418248214"/>
    <n v="0.8323964728088421"/>
  </r>
  <r>
    <x v="0"/>
    <s v="2022-12-22 20:16:34"/>
    <n v="7"/>
    <x v="5"/>
    <x v="3"/>
    <x v="1"/>
    <n v="1.0599726537093399"/>
    <n v="2E+20"/>
    <n v="0"/>
    <n v="3"/>
    <n v="2"/>
    <n v="0"/>
    <s v="Unnamed ProjectPICTURE_VERDEWIPEntity"/>
    <n v="10"/>
    <n v="1.4932618444780983"/>
    <n v="0.52254145076226866"/>
    <n v="0.95"/>
    <n v="0.37380363545871892"/>
    <n v="0.96966120558496105"/>
    <n v="2.4913718530767301"/>
    <n v="0.37380363545871892"/>
  </r>
  <r>
    <x v="0"/>
    <s v="2022-12-22 20:16:34"/>
    <n v="7"/>
    <x v="6"/>
    <x v="3"/>
    <x v="1"/>
    <n v="0.74866557346058005"/>
    <n v="2E+20"/>
    <n v="0"/>
    <n v="2"/>
    <n v="0"/>
    <n v="0"/>
    <s v="Unnamed ProjectPICTURE_VERMELHOWIPEntity"/>
    <n v="10"/>
    <n v="1.4286586600337643"/>
    <n v="0.75640588530896835"/>
    <n v="0.95"/>
    <n v="0.54110017377262498"/>
    <n v="0.67509473200672698"/>
    <n v="3.2826442810797798"/>
    <n v="0.54110017377262498"/>
  </r>
  <r>
    <x v="0"/>
    <s v="2022-12-22 20:16:34"/>
    <n v="7"/>
    <x v="7"/>
    <x v="4"/>
    <x v="2"/>
    <n v="9.2510237370042006E-2"/>
    <n v="2E+20"/>
    <n v="0"/>
    <n v="1"/>
    <n v="0"/>
    <n v="0"/>
    <s v="Unnamed ProjectProcesso Cortadeira.QueueNumber WaitingQueue"/>
    <n v="10"/>
    <n v="0.53038558221716525"/>
    <n v="0.39245895765901451"/>
    <n v="0.95"/>
    <n v="0.28074822567142471"/>
    <n v="9.2510237370042006E-2"/>
    <n v="1.3344747615452"/>
    <n v="0.28074822567142471"/>
  </r>
  <r>
    <x v="0"/>
    <s v="2022-12-22 20:16:34"/>
    <n v="7"/>
    <x v="8"/>
    <x v="4"/>
    <x v="2"/>
    <n v="0.124314489430269"/>
    <n v="2E+20"/>
    <n v="0"/>
    <n v="1"/>
    <n v="0"/>
    <n v="0"/>
    <s v="Unnamed ProjectProcesso Lixadeira.QueueNumber WaitingQueue"/>
    <n v="10"/>
    <n v="0.2467605477410765"/>
    <n v="0.20931915451334221"/>
    <n v="0.95"/>
    <n v="0.14973790273305995"/>
    <n v="2.27129878205608E-2"/>
    <n v="0.74764143964657803"/>
    <n v="0.14973790273305995"/>
  </r>
  <r>
    <x v="0"/>
    <s v="2022-12-22 20:16:34"/>
    <n v="7"/>
    <x v="9"/>
    <x v="4"/>
    <x v="2"/>
    <n v="0.40125442877856599"/>
    <n v="2E+20"/>
    <n v="0"/>
    <n v="4"/>
    <n v="0"/>
    <n v="0"/>
    <s v="Unnamed ProjectProcesso Torno.QueueNumber WaitingQueue"/>
    <n v="10"/>
    <n v="1.548257740428852"/>
    <n v="1.5672595927449962"/>
    <n v="0.95"/>
    <n v="1.1211499731189045"/>
    <n v="0.40125442877856599"/>
    <n v="5.62509510911375"/>
    <n v="1.1211499731189045"/>
  </r>
  <r>
    <x v="0"/>
    <s v="2022-12-22 20:16:34"/>
    <n v="8"/>
    <x v="0"/>
    <x v="0"/>
    <x v="0"/>
    <n v="0.57604223450418501"/>
    <n v="2E+20"/>
    <n v="0"/>
    <n v="1"/>
    <n v="1"/>
    <n v="0"/>
    <s v="Unnamed ProjectOPERADOR_CORTEInstantaneous Utilization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8"/>
    <x v="0"/>
    <x v="1"/>
    <x v="0"/>
    <n v="0.57604223450418501"/>
    <n v="2E+20"/>
    <n v="0"/>
    <n v="1"/>
    <n v="1"/>
    <n v="0"/>
    <s v="Unnamed ProjectOPERADOR_CORTENumber Busy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8"/>
    <x v="0"/>
    <x v="2"/>
    <x v="0"/>
    <n v="1"/>
    <n v="2E+20"/>
    <n v="1"/>
    <n v="1"/>
    <n v="1"/>
    <n v="0"/>
    <s v="Unnamed ProjectOPERADOR_CORTENumber ScheduledResource"/>
    <n v="10"/>
    <n v="1"/>
    <n v="0"/>
    <n v="0.95"/>
    <n v="0"/>
    <n v="1"/>
    <n v="1"/>
    <n v="0"/>
  </r>
  <r>
    <x v="0"/>
    <s v="2022-12-22 20:16:34"/>
    <n v="8"/>
    <x v="1"/>
    <x v="0"/>
    <x v="0"/>
    <n v="0.48262851817987601"/>
    <n v="2E+20"/>
    <n v="0"/>
    <n v="1"/>
    <n v="1"/>
    <n v="0"/>
    <s v="Unnamed ProjectOPERADOR_LIXADEIRAInstantaneous Utilization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8"/>
    <x v="1"/>
    <x v="1"/>
    <x v="0"/>
    <n v="0.48262851817987601"/>
    <n v="2E+20"/>
    <n v="0"/>
    <n v="1"/>
    <n v="1"/>
    <n v="0"/>
    <s v="Unnamed ProjectOPERADOR_LIXADEIRANumber Busy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8"/>
    <x v="1"/>
    <x v="2"/>
    <x v="0"/>
    <n v="1"/>
    <n v="2E+20"/>
    <n v="1"/>
    <n v="1"/>
    <n v="1"/>
    <n v="0"/>
    <s v="Unnamed ProjectOPERADOR_LIXADEIRANumber ScheduledResource"/>
    <n v="10"/>
    <n v="1"/>
    <n v="0"/>
    <n v="0.95"/>
    <n v="0"/>
    <n v="1"/>
    <n v="1"/>
    <n v="0"/>
  </r>
  <r>
    <x v="0"/>
    <s v="2022-12-22 20:16:34"/>
    <n v="8"/>
    <x v="2"/>
    <x v="0"/>
    <x v="0"/>
    <n v="0.76192402816309501"/>
    <n v="2E+20"/>
    <n v="0"/>
    <n v="1"/>
    <n v="0"/>
    <n v="0"/>
    <s v="Unnamed ProjectOPERADOR_TORNOInstantaneous Utilization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8"/>
    <x v="2"/>
    <x v="1"/>
    <x v="0"/>
    <n v="0.76192402816309501"/>
    <n v="2E+20"/>
    <n v="0"/>
    <n v="1"/>
    <n v="0"/>
    <n v="0"/>
    <s v="Unnamed ProjectOPERADOR_TORNONumber Busy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8"/>
    <x v="2"/>
    <x v="2"/>
    <x v="0"/>
    <n v="1"/>
    <n v="2E+20"/>
    <n v="1"/>
    <n v="1"/>
    <n v="1"/>
    <n v="0"/>
    <s v="Unnamed ProjectOPERADOR_TORNONumber ScheduledResource"/>
    <n v="10"/>
    <n v="1"/>
    <n v="0"/>
    <n v="0.95"/>
    <n v="0"/>
    <n v="1"/>
    <n v="1"/>
    <n v="0"/>
  </r>
  <r>
    <x v="0"/>
    <s v="2022-12-22 20:16:34"/>
    <n v="8"/>
    <x v="3"/>
    <x v="3"/>
    <x v="1"/>
    <n v="0"/>
    <n v="2E+20"/>
    <n v="0"/>
    <n v="1"/>
    <n v="0"/>
    <n v="0"/>
    <s v="Unnamed ProjectPECAWIPEntity"/>
    <n v="10"/>
    <n v="0"/>
    <n v="0"/>
    <n v="0.95"/>
    <n v="0"/>
    <n v="0"/>
    <n v="0"/>
    <n v="0"/>
  </r>
  <r>
    <x v="0"/>
    <s v="2022-12-22 20:16:34"/>
    <n v="8"/>
    <x v="4"/>
    <x v="3"/>
    <x v="1"/>
    <n v="0.84615195798477105"/>
    <n v="2E+20"/>
    <n v="0"/>
    <n v="3"/>
    <n v="0"/>
    <n v="0"/>
    <s v="Unnamed ProjectPICTURE_AZULWIPEntity"/>
    <n v="10"/>
    <n v="1.7449219173007218"/>
    <n v="1.1636100327840786"/>
    <n v="0.95"/>
    <n v="0.8323964728088421"/>
    <n v="0.61587295107649098"/>
    <n v="4.62111418248214"/>
    <n v="0.8323964728088421"/>
  </r>
  <r>
    <x v="0"/>
    <s v="2022-12-22 20:16:34"/>
    <n v="8"/>
    <x v="5"/>
    <x v="3"/>
    <x v="1"/>
    <n v="1.14594259526159"/>
    <n v="2E+20"/>
    <n v="0"/>
    <n v="4"/>
    <n v="3"/>
    <n v="0"/>
    <s v="Unnamed ProjectPICTURE_VERDEWIPEntity"/>
    <n v="10"/>
    <n v="1.4932618444780983"/>
    <n v="0.52254145076226866"/>
    <n v="0.95"/>
    <n v="0.37380363545871892"/>
    <n v="0.96966120558496105"/>
    <n v="2.4913718530767301"/>
    <n v="0.37380363545871892"/>
  </r>
  <r>
    <x v="0"/>
    <s v="2022-12-22 20:16:34"/>
    <n v="8"/>
    <x v="6"/>
    <x v="3"/>
    <x v="1"/>
    <n v="1.1691121197838199"/>
    <n v="2E+20"/>
    <n v="0"/>
    <n v="2"/>
    <n v="2"/>
    <n v="0"/>
    <s v="Unnamed ProjectPICTURE_VERMELHOWIPEntity"/>
    <n v="10"/>
    <n v="1.4286586600337643"/>
    <n v="0.75640588530896835"/>
    <n v="0.95"/>
    <n v="0.54110017377262498"/>
    <n v="0.67509473200672698"/>
    <n v="3.2826442810797798"/>
    <n v="0.54110017377262498"/>
  </r>
  <r>
    <x v="0"/>
    <s v="2022-12-22 20:16:34"/>
    <n v="8"/>
    <x v="7"/>
    <x v="4"/>
    <x v="2"/>
    <n v="0.52817093572024998"/>
    <n v="2E+20"/>
    <n v="0"/>
    <n v="4"/>
    <n v="1"/>
    <n v="0"/>
    <s v="Unnamed ProjectProcesso Cortadeira.QueueNumber WaitingQueue"/>
    <n v="10"/>
    <n v="0.53038558221716525"/>
    <n v="0.39245895765901451"/>
    <n v="0.95"/>
    <n v="0.28074822567142471"/>
    <n v="9.2510237370042006E-2"/>
    <n v="1.3344747615452"/>
    <n v="0.28074822567142471"/>
  </r>
  <r>
    <x v="0"/>
    <s v="2022-12-22 20:16:34"/>
    <n v="8"/>
    <x v="8"/>
    <x v="4"/>
    <x v="2"/>
    <n v="2.27129878205608E-2"/>
    <n v="2E+20"/>
    <n v="0"/>
    <n v="2"/>
    <n v="2"/>
    <n v="0"/>
    <s v="Unnamed ProjectProcesso Lixadeira.QueueNumber WaitingQueue"/>
    <n v="10"/>
    <n v="0.2467605477410765"/>
    <n v="0.20931915451334221"/>
    <n v="0.95"/>
    <n v="0.14973790273305995"/>
    <n v="2.27129878205608E-2"/>
    <n v="0.74764143964657803"/>
    <n v="0.14973790273305995"/>
  </r>
  <r>
    <x v="0"/>
    <s v="2022-12-22 20:16:34"/>
    <n v="8"/>
    <x v="9"/>
    <x v="4"/>
    <x v="2"/>
    <n v="0.59306130197554896"/>
    <n v="2E+20"/>
    <n v="0"/>
    <n v="2"/>
    <n v="0"/>
    <n v="0"/>
    <s v="Unnamed ProjectProcesso Torno.QueueNumber WaitingQueue"/>
    <n v="10"/>
    <n v="1.548257740428852"/>
    <n v="1.5672595927449962"/>
    <n v="0.95"/>
    <n v="1.1211499731189045"/>
    <n v="0.40125442877856599"/>
    <n v="5.62509510911375"/>
    <n v="1.1211499731189045"/>
  </r>
  <r>
    <x v="0"/>
    <s v="2022-12-22 20:16:34"/>
    <n v="9"/>
    <x v="0"/>
    <x v="0"/>
    <x v="0"/>
    <n v="0.85456598914228199"/>
    <n v="2E+20"/>
    <n v="0"/>
    <n v="1"/>
    <n v="1"/>
    <n v="0"/>
    <s v="Unnamed ProjectOPERADOR_CORTEInstantaneous Utilization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9"/>
    <x v="0"/>
    <x v="1"/>
    <x v="0"/>
    <n v="0.85456598914228199"/>
    <n v="2E+20"/>
    <n v="0"/>
    <n v="1"/>
    <n v="1"/>
    <n v="0"/>
    <s v="Unnamed ProjectOPERADOR_CORTENumber Busy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9"/>
    <x v="0"/>
    <x v="2"/>
    <x v="0"/>
    <n v="1"/>
    <n v="2E+20"/>
    <n v="1"/>
    <n v="1"/>
    <n v="1"/>
    <n v="0"/>
    <s v="Unnamed ProjectOPERADOR_CORTENumber ScheduledResource"/>
    <n v="10"/>
    <n v="1"/>
    <n v="0"/>
    <n v="0.95"/>
    <n v="0"/>
    <n v="1"/>
    <n v="1"/>
    <n v="0"/>
  </r>
  <r>
    <x v="0"/>
    <s v="2022-12-22 20:16:34"/>
    <n v="9"/>
    <x v="1"/>
    <x v="0"/>
    <x v="0"/>
    <n v="0.85064625227951796"/>
    <n v="2E+20"/>
    <n v="0"/>
    <n v="1"/>
    <n v="1"/>
    <n v="0"/>
    <s v="Unnamed ProjectOPERADOR_LIXADEIRAInstantaneous Utilization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9"/>
    <x v="1"/>
    <x v="1"/>
    <x v="0"/>
    <n v="0.85064625227951796"/>
    <n v="2E+20"/>
    <n v="0"/>
    <n v="1"/>
    <n v="1"/>
    <n v="0"/>
    <s v="Unnamed ProjectOPERADOR_LIXADEIRANumber Busy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9"/>
    <x v="1"/>
    <x v="2"/>
    <x v="0"/>
    <n v="1"/>
    <n v="2E+20"/>
    <n v="1"/>
    <n v="1"/>
    <n v="1"/>
    <n v="0"/>
    <s v="Unnamed ProjectOPERADOR_LIXADEIRANumber ScheduledResource"/>
    <n v="10"/>
    <n v="1"/>
    <n v="0"/>
    <n v="0.95"/>
    <n v="0"/>
    <n v="1"/>
    <n v="1"/>
    <n v="0"/>
  </r>
  <r>
    <x v="0"/>
    <s v="2022-12-22 20:16:34"/>
    <n v="9"/>
    <x v="2"/>
    <x v="0"/>
    <x v="0"/>
    <n v="0.81151142158665801"/>
    <n v="2E+20"/>
    <n v="0"/>
    <n v="1"/>
    <n v="1"/>
    <n v="0"/>
    <s v="Unnamed ProjectOPERADOR_TORNOInstantaneous Utilization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9"/>
    <x v="2"/>
    <x v="1"/>
    <x v="0"/>
    <n v="0.81151142158665801"/>
    <n v="2E+20"/>
    <n v="0"/>
    <n v="1"/>
    <n v="1"/>
    <n v="0"/>
    <s v="Unnamed ProjectOPERADOR_TORNONumber Busy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9"/>
    <x v="2"/>
    <x v="2"/>
    <x v="0"/>
    <n v="1"/>
    <n v="2E+20"/>
    <n v="1"/>
    <n v="1"/>
    <n v="1"/>
    <n v="0"/>
    <s v="Unnamed ProjectOPERADOR_TORNONumber ScheduledResource"/>
    <n v="10"/>
    <n v="1"/>
    <n v="0"/>
    <n v="0.95"/>
    <n v="0"/>
    <n v="1"/>
    <n v="1"/>
    <n v="0"/>
  </r>
  <r>
    <x v="0"/>
    <s v="2022-12-22 20:16:34"/>
    <n v="9"/>
    <x v="3"/>
    <x v="3"/>
    <x v="1"/>
    <n v="0"/>
    <n v="2E+20"/>
    <n v="0"/>
    <n v="1"/>
    <n v="0"/>
    <n v="0"/>
    <s v="Unnamed ProjectPECAWIPEntity"/>
    <n v="10"/>
    <n v="0"/>
    <n v="0"/>
    <n v="0.95"/>
    <n v="0"/>
    <n v="0"/>
    <n v="0"/>
    <n v="0"/>
  </r>
  <r>
    <x v="0"/>
    <s v="2022-12-22 20:16:34"/>
    <n v="9"/>
    <x v="4"/>
    <x v="3"/>
    <x v="1"/>
    <n v="2.33124105715746"/>
    <n v="2E+20"/>
    <n v="0"/>
    <n v="5"/>
    <n v="2"/>
    <n v="0"/>
    <s v="Unnamed ProjectPICTURE_AZULWIPEntity"/>
    <n v="10"/>
    <n v="1.7449219173007218"/>
    <n v="1.1636100327840786"/>
    <n v="0.95"/>
    <n v="0.8323964728088421"/>
    <n v="0.61587295107649098"/>
    <n v="4.62111418248214"/>
    <n v="0.8323964728088421"/>
  </r>
  <r>
    <x v="0"/>
    <s v="2022-12-22 20:16:34"/>
    <n v="9"/>
    <x v="5"/>
    <x v="3"/>
    <x v="1"/>
    <n v="2.4913718530767301"/>
    <n v="2E+20"/>
    <n v="0"/>
    <n v="5"/>
    <n v="1"/>
    <n v="0"/>
    <s v="Unnamed ProjectPICTURE_VERDEWIPEntity"/>
    <n v="10"/>
    <n v="1.4932618444780983"/>
    <n v="0.52254145076226866"/>
    <n v="0.95"/>
    <n v="0.37380363545871892"/>
    <n v="0.96966120558496105"/>
    <n v="2.4913718530767301"/>
    <n v="0.37380363545871892"/>
  </r>
  <r>
    <x v="0"/>
    <s v="2022-12-22 20:16:34"/>
    <n v="9"/>
    <x v="6"/>
    <x v="3"/>
    <x v="1"/>
    <n v="1.50662119761485"/>
    <n v="2E+20"/>
    <n v="0"/>
    <n v="4"/>
    <n v="4"/>
    <n v="0"/>
    <s v="Unnamed ProjectPICTURE_VERMELHOWIPEntity"/>
    <n v="10"/>
    <n v="1.4286586600337643"/>
    <n v="0.75640588530896835"/>
    <n v="0.95"/>
    <n v="0.54110017377262498"/>
    <n v="0.67509473200672698"/>
    <n v="3.2826442810797798"/>
    <n v="0.54110017377262498"/>
  </r>
  <r>
    <x v="0"/>
    <s v="2022-12-22 20:16:34"/>
    <n v="9"/>
    <x v="7"/>
    <x v="4"/>
    <x v="2"/>
    <n v="0.54484529082258804"/>
    <n v="2E+20"/>
    <n v="0"/>
    <n v="2"/>
    <n v="0"/>
    <n v="0"/>
    <s v="Unnamed ProjectProcesso Cortadeira.QueueNumber WaitingQueue"/>
    <n v="10"/>
    <n v="0.53038558221716525"/>
    <n v="0.39245895765901451"/>
    <n v="0.95"/>
    <n v="0.28074822567142471"/>
    <n v="9.2510237370042006E-2"/>
    <n v="1.3344747615452"/>
    <n v="0.28074822567142471"/>
  </r>
  <r>
    <x v="0"/>
    <s v="2022-12-22 20:16:34"/>
    <n v="9"/>
    <x v="8"/>
    <x v="4"/>
    <x v="2"/>
    <n v="0.74764143964657803"/>
    <n v="2E+20"/>
    <n v="0"/>
    <n v="3"/>
    <n v="0"/>
    <n v="0"/>
    <s v="Unnamed ProjectProcesso Lixadeira.QueueNumber WaitingQueue"/>
    <n v="10"/>
    <n v="0.2467605477410765"/>
    <n v="0.20931915451334221"/>
    <n v="0.95"/>
    <n v="0.14973790273305995"/>
    <n v="2.27129878205608E-2"/>
    <n v="0.74764143964657803"/>
    <n v="0.14973790273305995"/>
  </r>
  <r>
    <x v="0"/>
    <s v="2022-12-22 20:16:34"/>
    <n v="9"/>
    <x v="9"/>
    <x v="4"/>
    <x v="2"/>
    <n v="2.2327380257494802"/>
    <n v="2E+20"/>
    <n v="0"/>
    <n v="5"/>
    <n v="3"/>
    <n v="0"/>
    <s v="Unnamed ProjectProcesso Torno.QueueNumber WaitingQueue"/>
    <n v="10"/>
    <n v="1.548257740428852"/>
    <n v="1.5672595927449962"/>
    <n v="0.95"/>
    <n v="1.1211499731189045"/>
    <n v="0.40125442877856599"/>
    <n v="5.62509510911375"/>
    <n v="1.1211499731189045"/>
  </r>
  <r>
    <x v="0"/>
    <s v="2022-12-22 20:16:34"/>
    <n v="10"/>
    <x v="0"/>
    <x v="0"/>
    <x v="0"/>
    <n v="0.591351880247172"/>
    <n v="2E+20"/>
    <n v="0"/>
    <n v="1"/>
    <n v="1"/>
    <n v="0"/>
    <s v="Unnamed ProjectOPERADOR_CORTEInstantaneous Utilization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10"/>
    <x v="0"/>
    <x v="1"/>
    <x v="0"/>
    <n v="0.591351880247172"/>
    <n v="2E+20"/>
    <n v="0"/>
    <n v="1"/>
    <n v="1"/>
    <n v="0"/>
    <s v="Unnamed ProjectOPERADOR_CORTENumber BusyResource"/>
    <n v="10"/>
    <n v="0.66328097868598235"/>
    <n v="0.13309360211006072"/>
    <n v="0.95"/>
    <n v="9.5209427409943759E-2"/>
    <n v="0.50548165778050103"/>
    <n v="0.90373198712706704"/>
    <n v="9.5209427409943759E-2"/>
  </r>
  <r>
    <x v="0"/>
    <s v="2022-12-22 20:16:34"/>
    <n v="10"/>
    <x v="0"/>
    <x v="2"/>
    <x v="0"/>
    <n v="1"/>
    <n v="2E+20"/>
    <n v="1"/>
    <n v="1"/>
    <n v="1"/>
    <n v="0"/>
    <s v="Unnamed ProjectOPERADOR_CORTENumber ScheduledResource"/>
    <n v="10"/>
    <n v="1"/>
    <n v="0"/>
    <n v="0.95"/>
    <n v="0"/>
    <n v="1"/>
    <n v="1"/>
    <n v="0"/>
  </r>
  <r>
    <x v="0"/>
    <s v="2022-12-22 20:16:34"/>
    <n v="10"/>
    <x v="1"/>
    <x v="0"/>
    <x v="0"/>
    <n v="0.54016138164490002"/>
    <n v="2E+20"/>
    <n v="0"/>
    <n v="1"/>
    <n v="1"/>
    <n v="0"/>
    <s v="Unnamed ProjectOPERADOR_LIXADEIRAInstantaneous Utilization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10"/>
    <x v="1"/>
    <x v="1"/>
    <x v="0"/>
    <n v="0.54016138164490002"/>
    <n v="2E+20"/>
    <n v="0"/>
    <n v="1"/>
    <n v="1"/>
    <n v="0"/>
    <s v="Unnamed ProjectOPERADOR_LIXADEIRANumber BusyResource"/>
    <n v="10"/>
    <n v="0.61388612230942741"/>
    <n v="0.11265505672935852"/>
    <n v="0.95"/>
    <n v="8.0588572823863613E-2"/>
    <n v="0.48262851817987601"/>
    <n v="0.85064625227951796"/>
    <n v="8.0588572823863613E-2"/>
  </r>
  <r>
    <x v="0"/>
    <s v="2022-12-22 20:16:34"/>
    <n v="10"/>
    <x v="1"/>
    <x v="2"/>
    <x v="0"/>
    <n v="1"/>
    <n v="2E+20"/>
    <n v="1"/>
    <n v="1"/>
    <n v="1"/>
    <n v="0"/>
    <s v="Unnamed ProjectOPERADOR_LIXADEIRANumber ScheduledResource"/>
    <n v="10"/>
    <n v="1"/>
    <n v="0"/>
    <n v="0.95"/>
    <n v="0"/>
    <n v="1"/>
    <n v="1"/>
    <n v="0"/>
  </r>
  <r>
    <x v="0"/>
    <s v="2022-12-22 20:16:34"/>
    <n v="10"/>
    <x v="2"/>
    <x v="0"/>
    <x v="0"/>
    <n v="0.77632496154094799"/>
    <n v="2E+20"/>
    <n v="0"/>
    <n v="1"/>
    <n v="0"/>
    <n v="0"/>
    <s v="Unnamed ProjectOPERADOR_TORNOInstantaneous Utilization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10"/>
    <x v="2"/>
    <x v="1"/>
    <x v="0"/>
    <n v="0.77632496154094799"/>
    <n v="2E+20"/>
    <n v="0"/>
    <n v="1"/>
    <n v="0"/>
    <n v="0"/>
    <s v="Unnamed ProjectOPERADOR_TORNONumber BusyResource"/>
    <n v="10"/>
    <n v="0.82376875514414072"/>
    <n v="0.13969928470385456"/>
    <n v="0.95"/>
    <n v="9.9934848072064403E-2"/>
    <n v="0.51379543219592505"/>
    <n v="0.98397972672724299"/>
    <n v="9.9934848072064403E-2"/>
  </r>
  <r>
    <x v="0"/>
    <s v="2022-12-22 20:16:34"/>
    <n v="10"/>
    <x v="2"/>
    <x v="2"/>
    <x v="0"/>
    <n v="1"/>
    <n v="2E+20"/>
    <n v="1"/>
    <n v="1"/>
    <n v="1"/>
    <n v="0"/>
    <s v="Unnamed ProjectOPERADOR_TORNONumber ScheduledResource"/>
    <n v="10"/>
    <n v="1"/>
    <n v="0"/>
    <n v="0.95"/>
    <n v="0"/>
    <n v="1"/>
    <n v="1"/>
    <n v="0"/>
  </r>
  <r>
    <x v="0"/>
    <s v="2022-12-22 20:16:34"/>
    <n v="10"/>
    <x v="3"/>
    <x v="3"/>
    <x v="1"/>
    <n v="0"/>
    <n v="2E+20"/>
    <n v="0"/>
    <n v="1"/>
    <n v="0"/>
    <n v="0"/>
    <s v="Unnamed ProjectPECAWIPEntity"/>
    <n v="10"/>
    <n v="0"/>
    <n v="0"/>
    <n v="0.95"/>
    <n v="0"/>
    <n v="0"/>
    <n v="0"/>
    <n v="0"/>
  </r>
  <r>
    <x v="0"/>
    <s v="2022-12-22 20:16:34"/>
    <n v="10"/>
    <x v="4"/>
    <x v="3"/>
    <x v="1"/>
    <n v="1.0433079284686899"/>
    <n v="2E+20"/>
    <n v="0"/>
    <n v="3"/>
    <n v="0"/>
    <n v="0"/>
    <s v="Unnamed ProjectPICTURE_AZULWIPEntity"/>
    <n v="10"/>
    <n v="1.7449219173007218"/>
    <n v="1.1636100327840786"/>
    <n v="0.95"/>
    <n v="0.8323964728088421"/>
    <n v="0.61587295107649098"/>
    <n v="4.62111418248214"/>
    <n v="0.8323964728088421"/>
  </r>
  <r>
    <x v="0"/>
    <s v="2022-12-22 20:16:34"/>
    <n v="10"/>
    <x v="5"/>
    <x v="3"/>
    <x v="1"/>
    <n v="1.3532955149691801"/>
    <n v="2E+20"/>
    <n v="0"/>
    <n v="4"/>
    <n v="3"/>
    <n v="0"/>
    <s v="Unnamed ProjectPICTURE_VERDEWIPEntity"/>
    <n v="10"/>
    <n v="1.4932618444780983"/>
    <n v="0.52254145076226866"/>
    <n v="0.95"/>
    <n v="0.37380363545871892"/>
    <n v="0.96966120558496105"/>
    <n v="2.4913718530767301"/>
    <n v="0.37380363545871892"/>
  </r>
  <r>
    <x v="0"/>
    <s v="2022-12-22 20:16:34"/>
    <n v="10"/>
    <x v="6"/>
    <x v="3"/>
    <x v="1"/>
    <n v="0.99648064954770399"/>
    <n v="2E+20"/>
    <n v="0"/>
    <n v="2"/>
    <n v="1"/>
    <n v="0"/>
    <s v="Unnamed ProjectPICTURE_VERMELHOWIPEntity"/>
    <n v="10"/>
    <n v="1.4286586600337643"/>
    <n v="0.75640588530896835"/>
    <n v="0.95"/>
    <n v="0.54110017377262498"/>
    <n v="0.67509473200672698"/>
    <n v="3.2826442810797798"/>
    <n v="0.54110017377262498"/>
  </r>
  <r>
    <x v="0"/>
    <s v="2022-12-22 20:16:34"/>
    <n v="10"/>
    <x v="7"/>
    <x v="4"/>
    <x v="2"/>
    <n v="0.41449662902965401"/>
    <n v="2E+20"/>
    <n v="0"/>
    <n v="3"/>
    <n v="0"/>
    <n v="0"/>
    <s v="Unnamed ProjectProcesso Cortadeira.QueueNumber WaitingQueue"/>
    <n v="10"/>
    <n v="0.53038558221716525"/>
    <n v="0.39245895765901451"/>
    <n v="0.95"/>
    <n v="0.28074822567142471"/>
    <n v="9.2510237370042006E-2"/>
    <n v="1.3344747615452"/>
    <n v="0.28074822567142471"/>
  </r>
  <r>
    <x v="0"/>
    <s v="2022-12-22 20:16:34"/>
    <n v="10"/>
    <x v="8"/>
    <x v="4"/>
    <x v="2"/>
    <n v="0.25711261059447299"/>
    <n v="2E+20"/>
    <n v="0"/>
    <n v="2"/>
    <n v="2"/>
    <n v="0"/>
    <s v="Unnamed ProjectProcesso Lixadeira.QueueNumber WaitingQueue"/>
    <n v="10"/>
    <n v="0.2467605477410765"/>
    <n v="0.20931915451334221"/>
    <n v="0.95"/>
    <n v="0.14973790273305995"/>
    <n v="2.27129878205608E-2"/>
    <n v="0.74764143964657803"/>
    <n v="0.14973790273305995"/>
  </r>
  <r>
    <x v="0"/>
    <s v="2022-12-22 20:16:34"/>
    <n v="10"/>
    <x v="9"/>
    <x v="4"/>
    <x v="2"/>
    <n v="0.59363662992842303"/>
    <n v="2E+20"/>
    <n v="0"/>
    <n v="3"/>
    <n v="0"/>
    <n v="0"/>
    <s v="Unnamed ProjectProcesso Torno.QueueNumber WaitingQueue"/>
    <n v="10"/>
    <n v="1.548257740428852"/>
    <n v="1.5672595927449962"/>
    <n v="0.95"/>
    <n v="1.1211499731189045"/>
    <n v="0.40125442877856599"/>
    <n v="5.62509510911375"/>
    <n v="1.121149973118904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2-12-22 20:16:34"/>
    <n v="1"/>
    <x v="0"/>
    <x v="0"/>
    <x v="0"/>
    <n v="0"/>
    <n v="2E+20"/>
    <n v="0"/>
    <n v="0"/>
    <n v="9"/>
    <s v="Unnamed ProjectPICTURE_AZULNVA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1"/>
    <x v="0"/>
    <x v="1"/>
    <x v="0"/>
    <n v="0"/>
    <n v="2E+20"/>
    <n v="0"/>
    <n v="0"/>
    <n v="9"/>
    <s v="Unnamed ProjectPICTURE_AZULOther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1"/>
    <x v="0"/>
    <x v="2"/>
    <x v="0"/>
    <n v="555.91771048054204"/>
    <n v="2E+20"/>
    <n v="254.207735712931"/>
    <n v="912.04993534492996"/>
    <n v="9"/>
    <s v="Unnamed ProjectPICTURE_AZULTotal TimeEntity"/>
    <n v="10"/>
    <n v="784.20112236206649"/>
    <n v="282.64588059039443"/>
    <n v="0.95"/>
    <n v="202.1926826244985"/>
    <n v="555.91771048054204"/>
    <n v="1428.38076392469"/>
    <n v="254.207735712931"/>
    <n v="2305.7438129920101"/>
    <n v="10.6"/>
    <n v="202.1926826244985"/>
    <n v="10"/>
    <n v="1"/>
  </r>
  <r>
    <x v="0"/>
    <s v="2022-12-22 20:16:34"/>
    <n v="1"/>
    <x v="0"/>
    <x v="3"/>
    <x v="0"/>
    <n v="40"/>
    <n v="2E+20"/>
    <n v="40"/>
    <n v="40"/>
    <n v="9"/>
    <s v="Unnamed ProjectPICTURE_AZULTransfer TimeEntity"/>
    <n v="10"/>
    <n v="40"/>
    <n v="0"/>
    <n v="0.95"/>
    <n v="0"/>
    <n v="40"/>
    <n v="40"/>
    <n v="40"/>
    <n v="40.000000000000199"/>
    <n v="10.6"/>
    <n v="0"/>
    <n v="10"/>
    <n v="1"/>
  </r>
  <r>
    <x v="0"/>
    <s v="2022-12-22 20:16:34"/>
    <n v="1"/>
    <x v="0"/>
    <x v="4"/>
    <x v="0"/>
    <n v="302.26887544520002"/>
    <n v="2E+20"/>
    <n v="214.207735712931"/>
    <n v="362.15976287837299"/>
    <n v="9"/>
    <s v="Unnamed ProjectPICTURE_AZULVA TimeEntity"/>
    <n v="10"/>
    <n v="296.89527420519096"/>
    <n v="14.648047234529662"/>
    <n v="0.95"/>
    <n v="10.47858174820529"/>
    <n v="269.44190748770097"/>
    <n v="324.35016454071598"/>
    <n v="214.207735712931"/>
    <n v="393.64559223721699"/>
    <n v="10.6"/>
    <n v="10.47858174820529"/>
    <n v="10"/>
    <n v="1"/>
  </r>
  <r>
    <x v="0"/>
    <s v="2022-12-22 20:16:34"/>
    <n v="1"/>
    <x v="0"/>
    <x v="5"/>
    <x v="0"/>
    <n v="213.64883503534199"/>
    <n v="2E+20"/>
    <n v="0"/>
    <n v="620.70767005798098"/>
    <n v="9"/>
    <s v="Unnamed ProjectPICTURE_AZULWait TimeEntity"/>
    <n v="10"/>
    <n v="447.30584815687496"/>
    <n v="289.75452784876359"/>
    <n v="0.95"/>
    <n v="207.27790253288231"/>
    <n v="213.64883503534199"/>
    <n v="1101.7461806817701"/>
    <n v="0"/>
    <n v="2023.15343968925"/>
    <n v="10.6"/>
    <n v="207.27790253288231"/>
    <n v="10"/>
    <n v="1"/>
  </r>
  <r>
    <x v="0"/>
    <s v="2022-12-22 20:16:34"/>
    <n v="2"/>
    <x v="0"/>
    <x v="0"/>
    <x v="0"/>
    <n v="0"/>
    <n v="2E+20"/>
    <n v="0"/>
    <n v="0"/>
    <n v="11"/>
    <s v="Unnamed ProjectPICTURE_AZULNVA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2"/>
    <x v="0"/>
    <x v="1"/>
    <x v="0"/>
    <n v="0"/>
    <n v="2E+20"/>
    <n v="0"/>
    <n v="0"/>
    <n v="11"/>
    <s v="Unnamed ProjectPICTURE_AZULOther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2"/>
    <x v="0"/>
    <x v="2"/>
    <x v="0"/>
    <n v="791.24776999483299"/>
    <n v="2E+20"/>
    <n v="391.09307743975103"/>
    <n v="1603.2691533550999"/>
    <n v="11"/>
    <s v="Unnamed ProjectPICTURE_AZULTotal TimeEntity"/>
    <n v="10"/>
    <n v="784.20112236206649"/>
    <n v="282.64588059039443"/>
    <n v="0.95"/>
    <n v="202.1926826244985"/>
    <n v="555.91771048054204"/>
    <n v="1428.38076392469"/>
    <n v="254.207735712931"/>
    <n v="2305.7438129920101"/>
    <n v="10.6"/>
    <n v="202.1926826244985"/>
    <n v="10"/>
    <n v="1"/>
  </r>
  <r>
    <x v="0"/>
    <s v="2022-12-22 20:16:34"/>
    <n v="2"/>
    <x v="0"/>
    <x v="3"/>
    <x v="0"/>
    <n v="40"/>
    <n v="2E+20"/>
    <n v="40"/>
    <n v="40"/>
    <n v="11"/>
    <s v="Unnamed ProjectPICTURE_AZULTransfer TimeEntity"/>
    <n v="10"/>
    <n v="40"/>
    <n v="0"/>
    <n v="0.95"/>
    <n v="0"/>
    <n v="40"/>
    <n v="40"/>
    <n v="40"/>
    <n v="40.000000000000199"/>
    <n v="10.6"/>
    <n v="0"/>
    <n v="10"/>
    <n v="1"/>
  </r>
  <r>
    <x v="0"/>
    <s v="2022-12-22 20:16:34"/>
    <n v="2"/>
    <x v="0"/>
    <x v="4"/>
    <x v="0"/>
    <n v="299.58403733603097"/>
    <n v="2E+20"/>
    <n v="243.05883135400401"/>
    <n v="351.09307743975103"/>
    <n v="11"/>
    <s v="Unnamed ProjectPICTURE_AZULVA TimeEntity"/>
    <n v="10"/>
    <n v="296.89527420519096"/>
    <n v="14.648047234529662"/>
    <n v="0.95"/>
    <n v="10.47858174820529"/>
    <n v="269.44190748770097"/>
    <n v="324.35016454071598"/>
    <n v="214.207735712931"/>
    <n v="393.64559223721699"/>
    <n v="10.6"/>
    <n v="10.47858174820529"/>
    <n v="10"/>
    <n v="1"/>
  </r>
  <r>
    <x v="0"/>
    <s v="2022-12-22 20:16:34"/>
    <n v="2"/>
    <x v="0"/>
    <x v="5"/>
    <x v="0"/>
    <n v="451.66373265880202"/>
    <n v="2E+20"/>
    <n v="0"/>
    <n v="1221.25586555103"/>
    <n v="11"/>
    <s v="Unnamed ProjectPICTURE_AZULWait TimeEntity"/>
    <n v="10"/>
    <n v="447.30584815687496"/>
    <n v="289.75452784876359"/>
    <n v="0.95"/>
    <n v="207.27790253288231"/>
    <n v="213.64883503534199"/>
    <n v="1101.7461806817701"/>
    <n v="0"/>
    <n v="2023.15343968925"/>
    <n v="10.6"/>
    <n v="207.27790253288231"/>
    <n v="10"/>
    <n v="1"/>
  </r>
  <r>
    <x v="0"/>
    <s v="2022-12-22 20:16:34"/>
    <n v="3"/>
    <x v="0"/>
    <x v="0"/>
    <x v="0"/>
    <n v="0"/>
    <n v="2E+20"/>
    <n v="0"/>
    <n v="0"/>
    <n v="13"/>
    <s v="Unnamed ProjectPICTURE_AZULNVA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3"/>
    <x v="0"/>
    <x v="1"/>
    <x v="0"/>
    <n v="0"/>
    <n v="2E+20"/>
    <n v="0"/>
    <n v="0"/>
    <n v="13"/>
    <s v="Unnamed ProjectPICTURE_AZULOther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3"/>
    <x v="0"/>
    <x v="2"/>
    <x v="0"/>
    <n v="1428.38076392469"/>
    <n v="2E+20"/>
    <n v="374.17250755590499"/>
    <n v="2305.7438129920101"/>
    <n v="13"/>
    <s v="Unnamed ProjectPICTURE_AZULTotal TimeEntity"/>
    <n v="10"/>
    <n v="784.20112236206649"/>
    <n v="282.64588059039443"/>
    <n v="0.95"/>
    <n v="202.1926826244985"/>
    <n v="555.91771048054204"/>
    <n v="1428.38076392469"/>
    <n v="254.207735712931"/>
    <n v="2305.7438129920101"/>
    <n v="10.6"/>
    <n v="202.1926826244985"/>
    <n v="10"/>
    <n v="1"/>
  </r>
  <r>
    <x v="0"/>
    <s v="2022-12-22 20:16:34"/>
    <n v="3"/>
    <x v="0"/>
    <x v="3"/>
    <x v="0"/>
    <n v="40"/>
    <n v="2E+20"/>
    <n v="40"/>
    <n v="40"/>
    <n v="13"/>
    <s v="Unnamed ProjectPICTURE_AZULTransfer TimeEntity"/>
    <n v="10"/>
    <n v="40"/>
    <n v="0"/>
    <n v="0.95"/>
    <n v="0"/>
    <n v="40"/>
    <n v="40"/>
    <n v="40"/>
    <n v="40.000000000000199"/>
    <n v="10.6"/>
    <n v="0"/>
    <n v="10"/>
    <n v="1"/>
  </r>
  <r>
    <x v="0"/>
    <s v="2022-12-22 20:16:34"/>
    <n v="3"/>
    <x v="0"/>
    <x v="4"/>
    <x v="0"/>
    <n v="286.63458324291798"/>
    <n v="2E+20"/>
    <n v="231.81991617068499"/>
    <n v="360.97674786352297"/>
    <n v="13"/>
    <s v="Unnamed ProjectPICTURE_AZULVA TimeEntity"/>
    <n v="10"/>
    <n v="296.89527420519096"/>
    <n v="14.648047234529662"/>
    <n v="0.95"/>
    <n v="10.47858174820529"/>
    <n v="269.44190748770097"/>
    <n v="324.35016454071598"/>
    <n v="214.207735712931"/>
    <n v="393.64559223721699"/>
    <n v="10.6"/>
    <n v="10.47858174820529"/>
    <n v="10"/>
    <n v="1"/>
  </r>
  <r>
    <x v="0"/>
    <s v="2022-12-22 20:16:34"/>
    <n v="3"/>
    <x v="0"/>
    <x v="5"/>
    <x v="0"/>
    <n v="1101.7461806817701"/>
    <n v="2E+20"/>
    <n v="0"/>
    <n v="2023.15343968925"/>
    <n v="13"/>
    <s v="Unnamed ProjectPICTURE_AZULWait TimeEntity"/>
    <n v="10"/>
    <n v="447.30584815687496"/>
    <n v="289.75452784876359"/>
    <n v="0.95"/>
    <n v="207.27790253288231"/>
    <n v="213.64883503534199"/>
    <n v="1101.7461806817701"/>
    <n v="0"/>
    <n v="2023.15343968925"/>
    <n v="10.6"/>
    <n v="207.27790253288231"/>
    <n v="10"/>
    <n v="1"/>
  </r>
  <r>
    <x v="0"/>
    <s v="2022-12-22 20:16:34"/>
    <n v="4"/>
    <x v="0"/>
    <x v="0"/>
    <x v="0"/>
    <n v="0"/>
    <n v="2E+20"/>
    <n v="0"/>
    <n v="0"/>
    <n v="12"/>
    <s v="Unnamed ProjectPICTURE_AZULNVA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4"/>
    <x v="0"/>
    <x v="1"/>
    <x v="0"/>
    <n v="0"/>
    <n v="2E+20"/>
    <n v="0"/>
    <n v="0"/>
    <n v="12"/>
    <s v="Unnamed ProjectPICTURE_AZULOther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4"/>
    <x v="0"/>
    <x v="2"/>
    <x v="0"/>
    <n v="643.29726705351698"/>
    <n v="2E+20"/>
    <n v="302.22186381297001"/>
    <n v="1027.4675467695799"/>
    <n v="12"/>
    <s v="Unnamed ProjectPICTURE_AZULTotal TimeEntity"/>
    <n v="10"/>
    <n v="784.20112236206649"/>
    <n v="282.64588059039443"/>
    <n v="0.95"/>
    <n v="202.1926826244985"/>
    <n v="555.91771048054204"/>
    <n v="1428.38076392469"/>
    <n v="254.207735712931"/>
    <n v="2305.7438129920101"/>
    <n v="10.6"/>
    <n v="202.1926826244985"/>
    <n v="10"/>
    <n v="1"/>
  </r>
  <r>
    <x v="0"/>
    <s v="2022-12-22 20:16:34"/>
    <n v="4"/>
    <x v="0"/>
    <x v="3"/>
    <x v="0"/>
    <n v="40"/>
    <n v="2E+20"/>
    <n v="40"/>
    <n v="40"/>
    <n v="12"/>
    <s v="Unnamed ProjectPICTURE_AZULTransfer TimeEntity"/>
    <n v="10"/>
    <n v="40"/>
    <n v="0"/>
    <n v="0.95"/>
    <n v="0"/>
    <n v="40"/>
    <n v="40"/>
    <n v="40"/>
    <n v="40.000000000000199"/>
    <n v="10.6"/>
    <n v="0"/>
    <n v="10"/>
    <n v="1"/>
  </r>
  <r>
    <x v="0"/>
    <s v="2022-12-22 20:16:34"/>
    <n v="4"/>
    <x v="0"/>
    <x v="4"/>
    <x v="0"/>
    <n v="288.03880200724399"/>
    <n v="2E+20"/>
    <n v="216.527922617728"/>
    <n v="336.18200273915301"/>
    <n v="12"/>
    <s v="Unnamed ProjectPICTURE_AZULVA TimeEntity"/>
    <n v="10"/>
    <n v="296.89527420519096"/>
    <n v="14.648047234529662"/>
    <n v="0.95"/>
    <n v="10.47858174820529"/>
    <n v="269.44190748770097"/>
    <n v="324.35016454071598"/>
    <n v="214.207735712931"/>
    <n v="393.64559223721699"/>
    <n v="10.6"/>
    <n v="10.47858174820529"/>
    <n v="10"/>
    <n v="1"/>
  </r>
  <r>
    <x v="0"/>
    <s v="2022-12-22 20:16:34"/>
    <n v="4"/>
    <x v="0"/>
    <x v="5"/>
    <x v="0"/>
    <n v="315.25846504627299"/>
    <n v="2E+20"/>
    <n v="0"/>
    <n v="770.93962415184899"/>
    <n v="12"/>
    <s v="Unnamed ProjectPICTURE_AZULWait TimeEntity"/>
    <n v="10"/>
    <n v="447.30584815687496"/>
    <n v="289.75452784876359"/>
    <n v="0.95"/>
    <n v="207.27790253288231"/>
    <n v="213.64883503534199"/>
    <n v="1101.7461806817701"/>
    <n v="0"/>
    <n v="2023.15343968925"/>
    <n v="10.6"/>
    <n v="207.27790253288231"/>
    <n v="10"/>
    <n v="1"/>
  </r>
  <r>
    <x v="0"/>
    <s v="2022-12-22 20:16:34"/>
    <n v="5"/>
    <x v="0"/>
    <x v="0"/>
    <x v="0"/>
    <n v="0"/>
    <n v="2E+20"/>
    <n v="0"/>
    <n v="0"/>
    <n v="12"/>
    <s v="Unnamed ProjectPICTURE_AZULNVA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5"/>
    <x v="0"/>
    <x v="1"/>
    <x v="0"/>
    <n v="0"/>
    <n v="2E+20"/>
    <n v="0"/>
    <n v="0"/>
    <n v="12"/>
    <s v="Unnamed ProjectPICTURE_AZULOther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5"/>
    <x v="0"/>
    <x v="2"/>
    <x v="0"/>
    <n v="847.05401312152901"/>
    <n v="2E+20"/>
    <n v="373.314750424208"/>
    <n v="1480.2011931229599"/>
    <n v="12"/>
    <s v="Unnamed ProjectPICTURE_AZULTotal TimeEntity"/>
    <n v="10"/>
    <n v="784.20112236206649"/>
    <n v="282.64588059039443"/>
    <n v="0.95"/>
    <n v="202.1926826244985"/>
    <n v="555.91771048054204"/>
    <n v="1428.38076392469"/>
    <n v="254.207735712931"/>
    <n v="2305.7438129920101"/>
    <n v="10.6"/>
    <n v="202.1926826244985"/>
    <n v="10"/>
    <n v="1"/>
  </r>
  <r>
    <x v="0"/>
    <s v="2022-12-22 20:16:34"/>
    <n v="5"/>
    <x v="0"/>
    <x v="3"/>
    <x v="0"/>
    <n v="40"/>
    <n v="2E+20"/>
    <n v="40"/>
    <n v="40"/>
    <n v="12"/>
    <s v="Unnamed ProjectPICTURE_AZULTransfer TimeEntity"/>
    <n v="10"/>
    <n v="40"/>
    <n v="0"/>
    <n v="0.95"/>
    <n v="0"/>
    <n v="40"/>
    <n v="40"/>
    <n v="40"/>
    <n v="40.000000000000199"/>
    <n v="10.6"/>
    <n v="0"/>
    <n v="10"/>
    <n v="1"/>
  </r>
  <r>
    <x v="0"/>
    <s v="2022-12-22 20:16:34"/>
    <n v="5"/>
    <x v="0"/>
    <x v="4"/>
    <x v="0"/>
    <n v="269.44190748770097"/>
    <n v="2E+20"/>
    <n v="223.17667296756801"/>
    <n v="317.34656937284899"/>
    <n v="12"/>
    <s v="Unnamed ProjectPICTURE_AZULVA TimeEntity"/>
    <n v="10"/>
    <n v="296.89527420519096"/>
    <n v="14.648047234529662"/>
    <n v="0.95"/>
    <n v="10.47858174820529"/>
    <n v="269.44190748770097"/>
    <n v="324.35016454071598"/>
    <n v="214.207735712931"/>
    <n v="393.64559223721699"/>
    <n v="10.6"/>
    <n v="10.47858174820529"/>
    <n v="10"/>
    <n v="1"/>
  </r>
  <r>
    <x v="0"/>
    <s v="2022-12-22 20:16:34"/>
    <n v="5"/>
    <x v="0"/>
    <x v="5"/>
    <x v="0"/>
    <n v="537.61210563382804"/>
    <n v="2E+20"/>
    <n v="87.665141391034496"/>
    <n v="1159.9479839186099"/>
    <n v="12"/>
    <s v="Unnamed ProjectPICTURE_AZULWait TimeEntity"/>
    <n v="10"/>
    <n v="447.30584815687496"/>
    <n v="289.75452784876359"/>
    <n v="0.95"/>
    <n v="207.27790253288231"/>
    <n v="213.64883503534199"/>
    <n v="1101.7461806817701"/>
    <n v="0"/>
    <n v="2023.15343968925"/>
    <n v="10.6"/>
    <n v="207.27790253288231"/>
    <n v="10"/>
    <n v="1"/>
  </r>
  <r>
    <x v="0"/>
    <s v="2022-12-22 20:16:34"/>
    <n v="6"/>
    <x v="0"/>
    <x v="0"/>
    <x v="0"/>
    <n v="0"/>
    <n v="2E+20"/>
    <n v="0"/>
    <n v="0"/>
    <n v="13"/>
    <s v="Unnamed ProjectPICTURE_AZULNVA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6"/>
    <x v="0"/>
    <x v="1"/>
    <x v="0"/>
    <n v="0"/>
    <n v="2E+20"/>
    <n v="0"/>
    <n v="0"/>
    <n v="13"/>
    <s v="Unnamed ProjectPICTURE_AZULOther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6"/>
    <x v="0"/>
    <x v="2"/>
    <x v="0"/>
    <n v="661.72315901294098"/>
    <n v="2E+20"/>
    <n v="363.09725617599099"/>
    <n v="1352.1418139555501"/>
    <n v="13"/>
    <s v="Unnamed ProjectPICTURE_AZULTotal TimeEntity"/>
    <n v="10"/>
    <n v="784.20112236206649"/>
    <n v="282.64588059039443"/>
    <n v="0.95"/>
    <n v="202.1926826244985"/>
    <n v="555.91771048054204"/>
    <n v="1428.38076392469"/>
    <n v="254.207735712931"/>
    <n v="2305.7438129920101"/>
    <n v="10.6"/>
    <n v="202.1926826244985"/>
    <n v="10"/>
    <n v="1"/>
  </r>
  <r>
    <x v="0"/>
    <s v="2022-12-22 20:16:34"/>
    <n v="6"/>
    <x v="0"/>
    <x v="3"/>
    <x v="0"/>
    <n v="40"/>
    <n v="2E+20"/>
    <n v="40"/>
    <n v="40.000000000000199"/>
    <n v="13"/>
    <s v="Unnamed ProjectPICTURE_AZULTransfer TimeEntity"/>
    <n v="10"/>
    <n v="40"/>
    <n v="0"/>
    <n v="0.95"/>
    <n v="0"/>
    <n v="40"/>
    <n v="40"/>
    <n v="40"/>
    <n v="40.000000000000199"/>
    <n v="10.6"/>
    <n v="0"/>
    <n v="10"/>
    <n v="1"/>
  </r>
  <r>
    <x v="0"/>
    <s v="2022-12-22 20:16:34"/>
    <n v="6"/>
    <x v="0"/>
    <x v="4"/>
    <x v="0"/>
    <n v="324.35016454071598"/>
    <n v="2E+20"/>
    <n v="246.727490130701"/>
    <n v="393.64559223721699"/>
    <n v="13"/>
    <s v="Unnamed ProjectPICTURE_AZULVA TimeEntity"/>
    <n v="10"/>
    <n v="296.89527420519096"/>
    <n v="14.648047234529662"/>
    <n v="0.95"/>
    <n v="10.47858174820529"/>
    <n v="269.44190748770097"/>
    <n v="324.35016454071598"/>
    <n v="214.207735712931"/>
    <n v="393.64559223721699"/>
    <n v="10.6"/>
    <n v="10.47858174820529"/>
    <n v="10"/>
    <n v="1"/>
  </r>
  <r>
    <x v="0"/>
    <s v="2022-12-22 20:16:34"/>
    <n v="6"/>
    <x v="0"/>
    <x v="5"/>
    <x v="0"/>
    <n v="297.372994472225"/>
    <n v="2E+20"/>
    <n v="0"/>
    <n v="967.25837315164699"/>
    <n v="13"/>
    <s v="Unnamed ProjectPICTURE_AZULWait TimeEntity"/>
    <n v="10"/>
    <n v="447.30584815687496"/>
    <n v="289.75452784876359"/>
    <n v="0.95"/>
    <n v="207.27790253288231"/>
    <n v="213.64883503534199"/>
    <n v="1101.7461806817701"/>
    <n v="0"/>
    <n v="2023.15343968925"/>
    <n v="10.6"/>
    <n v="207.27790253288231"/>
    <n v="10"/>
    <n v="1"/>
  </r>
  <r>
    <x v="0"/>
    <s v="2022-12-22 20:16:34"/>
    <n v="7"/>
    <x v="0"/>
    <x v="0"/>
    <x v="0"/>
    <n v="0"/>
    <n v="2E+20"/>
    <n v="0"/>
    <n v="0"/>
    <n v="6"/>
    <s v="Unnamed ProjectPICTURE_AZULNVA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7"/>
    <x v="0"/>
    <x v="1"/>
    <x v="0"/>
    <n v="0"/>
    <n v="2E+20"/>
    <n v="0"/>
    <n v="0"/>
    <n v="6"/>
    <s v="Unnamed ProjectPICTURE_AZULOther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7"/>
    <x v="0"/>
    <x v="2"/>
    <x v="0"/>
    <n v="596.23232602785197"/>
    <n v="2E+20"/>
    <n v="317.48421408673198"/>
    <n v="972.454928647472"/>
    <n v="6"/>
    <s v="Unnamed ProjectPICTURE_AZULTotal TimeEntity"/>
    <n v="10"/>
    <n v="784.20112236206649"/>
    <n v="282.64588059039443"/>
    <n v="0.95"/>
    <n v="202.1926826244985"/>
    <n v="555.91771048054204"/>
    <n v="1428.38076392469"/>
    <n v="254.207735712931"/>
    <n v="2305.7438129920101"/>
    <n v="10.6"/>
    <n v="202.1926826244985"/>
    <n v="10"/>
    <n v="1"/>
  </r>
  <r>
    <x v="0"/>
    <s v="2022-12-22 20:16:34"/>
    <n v="7"/>
    <x v="0"/>
    <x v="3"/>
    <x v="0"/>
    <n v="40"/>
    <n v="2E+20"/>
    <n v="40"/>
    <n v="40"/>
    <n v="6"/>
    <s v="Unnamed ProjectPICTURE_AZULTransfer TimeEntity"/>
    <n v="10"/>
    <n v="40"/>
    <n v="0"/>
    <n v="0.95"/>
    <n v="0"/>
    <n v="40"/>
    <n v="40"/>
    <n v="40"/>
    <n v="40.000000000000199"/>
    <n v="10.6"/>
    <n v="0"/>
    <n v="10"/>
    <n v="1"/>
  </r>
  <r>
    <x v="0"/>
    <s v="2022-12-22 20:16:34"/>
    <n v="7"/>
    <x v="0"/>
    <x v="4"/>
    <x v="0"/>
    <n v="307.74121683766202"/>
    <n v="2E+20"/>
    <n v="246.75322409765101"/>
    <n v="336.64341604981502"/>
    <n v="6"/>
    <s v="Unnamed ProjectPICTURE_AZULVA TimeEntity"/>
    <n v="10"/>
    <n v="296.89527420519096"/>
    <n v="14.648047234529662"/>
    <n v="0.95"/>
    <n v="10.47858174820529"/>
    <n v="269.44190748770097"/>
    <n v="324.35016454071598"/>
    <n v="214.207735712931"/>
    <n v="393.64559223721699"/>
    <n v="10.6"/>
    <n v="10.47858174820529"/>
    <n v="10"/>
    <n v="1"/>
  </r>
  <r>
    <x v="0"/>
    <s v="2022-12-22 20:16:34"/>
    <n v="7"/>
    <x v="0"/>
    <x v="5"/>
    <x v="0"/>
    <n v="248.49110919019"/>
    <n v="2E+20"/>
    <n v="0"/>
    <n v="608.95122759310004"/>
    <n v="6"/>
    <s v="Unnamed ProjectPICTURE_AZULWait TimeEntity"/>
    <n v="10"/>
    <n v="447.30584815687496"/>
    <n v="289.75452784876359"/>
    <n v="0.95"/>
    <n v="207.27790253288231"/>
    <n v="213.64883503534199"/>
    <n v="1101.7461806817701"/>
    <n v="0"/>
    <n v="2023.15343968925"/>
    <n v="10.6"/>
    <n v="207.27790253288231"/>
    <n v="10"/>
    <n v="1"/>
  </r>
  <r>
    <x v="0"/>
    <s v="2022-12-22 20:16:34"/>
    <n v="8"/>
    <x v="0"/>
    <x v="0"/>
    <x v="0"/>
    <n v="0"/>
    <n v="2E+20"/>
    <n v="0"/>
    <n v="0"/>
    <n v="8"/>
    <s v="Unnamed ProjectPICTURE_AZULNVA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8"/>
    <x v="0"/>
    <x v="1"/>
    <x v="0"/>
    <n v="0"/>
    <n v="2E+20"/>
    <n v="0"/>
    <n v="0"/>
    <n v="8"/>
    <s v="Unnamed ProjectPICTURE_AZULOther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8"/>
    <x v="0"/>
    <x v="2"/>
    <x v="0"/>
    <n v="634.61396848857896"/>
    <n v="2E+20"/>
    <n v="266.331083891753"/>
    <n v="952.065983738554"/>
    <n v="8"/>
    <s v="Unnamed ProjectPICTURE_AZULTotal TimeEntity"/>
    <n v="10"/>
    <n v="784.20112236206649"/>
    <n v="282.64588059039443"/>
    <n v="0.95"/>
    <n v="202.1926826244985"/>
    <n v="555.91771048054204"/>
    <n v="1428.38076392469"/>
    <n v="254.207735712931"/>
    <n v="2305.7438129920101"/>
    <n v="10.6"/>
    <n v="202.1926826244985"/>
    <n v="10"/>
    <n v="1"/>
  </r>
  <r>
    <x v="0"/>
    <s v="2022-12-22 20:16:34"/>
    <n v="8"/>
    <x v="0"/>
    <x v="3"/>
    <x v="0"/>
    <n v="40"/>
    <n v="2E+20"/>
    <n v="40"/>
    <n v="40"/>
    <n v="8"/>
    <s v="Unnamed ProjectPICTURE_AZULTransfer TimeEntity"/>
    <n v="10"/>
    <n v="40"/>
    <n v="0"/>
    <n v="0.95"/>
    <n v="0"/>
    <n v="40"/>
    <n v="40"/>
    <n v="40"/>
    <n v="40.000000000000199"/>
    <n v="10.6"/>
    <n v="0"/>
    <n v="10"/>
    <n v="1"/>
  </r>
  <r>
    <x v="0"/>
    <s v="2022-12-22 20:16:34"/>
    <n v="8"/>
    <x v="0"/>
    <x v="4"/>
    <x v="0"/>
    <n v="302.30518291524203"/>
    <n v="2E+20"/>
    <n v="226.331083891753"/>
    <n v="355.12696749538998"/>
    <n v="8"/>
    <s v="Unnamed ProjectPICTURE_AZULVA TimeEntity"/>
    <n v="10"/>
    <n v="296.89527420519096"/>
    <n v="14.648047234529662"/>
    <n v="0.95"/>
    <n v="10.47858174820529"/>
    <n v="269.44190748770097"/>
    <n v="324.35016454071598"/>
    <n v="214.207735712931"/>
    <n v="393.64559223721699"/>
    <n v="10.6"/>
    <n v="10.47858174820529"/>
    <n v="10"/>
    <n v="1"/>
  </r>
  <r>
    <x v="0"/>
    <s v="2022-12-22 20:16:34"/>
    <n v="8"/>
    <x v="0"/>
    <x v="5"/>
    <x v="0"/>
    <n v="292.30878557333699"/>
    <n v="2E+20"/>
    <n v="0"/>
    <n v="556.93901624316402"/>
    <n v="8"/>
    <s v="Unnamed ProjectPICTURE_AZULWait TimeEntity"/>
    <n v="10"/>
    <n v="447.30584815687496"/>
    <n v="289.75452784876359"/>
    <n v="0.95"/>
    <n v="207.27790253288231"/>
    <n v="213.64883503534199"/>
    <n v="1101.7461806817701"/>
    <n v="0"/>
    <n v="2023.15343968925"/>
    <n v="10.6"/>
    <n v="207.27790253288231"/>
    <n v="10"/>
    <n v="1"/>
  </r>
  <r>
    <x v="0"/>
    <s v="2022-12-22 20:16:34"/>
    <n v="9"/>
    <x v="0"/>
    <x v="0"/>
    <x v="0"/>
    <n v="0"/>
    <n v="2E+20"/>
    <n v="0"/>
    <n v="0"/>
    <n v="11"/>
    <s v="Unnamed ProjectPICTURE_AZULNVA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9"/>
    <x v="0"/>
    <x v="1"/>
    <x v="0"/>
    <n v="0"/>
    <n v="2E+20"/>
    <n v="0"/>
    <n v="0"/>
    <n v="11"/>
    <s v="Unnamed ProjectPICTURE_AZULOther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9"/>
    <x v="0"/>
    <x v="2"/>
    <x v="0"/>
    <n v="1114.46719362417"/>
    <n v="2E+20"/>
    <n v="271.865060510224"/>
    <n v="1776.78432130907"/>
    <n v="11"/>
    <s v="Unnamed ProjectPICTURE_AZULTotal TimeEntity"/>
    <n v="10"/>
    <n v="784.20112236206649"/>
    <n v="282.64588059039443"/>
    <n v="0.95"/>
    <n v="202.1926826244985"/>
    <n v="555.91771048054204"/>
    <n v="1428.38076392469"/>
    <n v="254.207735712931"/>
    <n v="2305.7438129920101"/>
    <n v="10.6"/>
    <n v="202.1926826244985"/>
    <n v="10"/>
    <n v="1"/>
  </r>
  <r>
    <x v="0"/>
    <s v="2022-12-22 20:16:34"/>
    <n v="9"/>
    <x v="0"/>
    <x v="3"/>
    <x v="0"/>
    <n v="40"/>
    <n v="2E+20"/>
    <n v="40"/>
    <n v="40"/>
    <n v="11"/>
    <s v="Unnamed ProjectPICTURE_AZULTransfer TimeEntity"/>
    <n v="10"/>
    <n v="40"/>
    <n v="0"/>
    <n v="0.95"/>
    <n v="0"/>
    <n v="40"/>
    <n v="40"/>
    <n v="40"/>
    <n v="40.000000000000199"/>
    <n v="10.6"/>
    <n v="0"/>
    <n v="10"/>
    <n v="1"/>
  </r>
  <r>
    <x v="0"/>
    <s v="2022-12-22 20:16:34"/>
    <n v="9"/>
    <x v="0"/>
    <x v="4"/>
    <x v="0"/>
    <n v="289.63725212025298"/>
    <n v="2E+20"/>
    <n v="231.855180006701"/>
    <n v="377.16292159188703"/>
    <n v="11"/>
    <s v="Unnamed ProjectPICTURE_AZULVA TimeEntity"/>
    <n v="10"/>
    <n v="296.89527420519096"/>
    <n v="14.648047234529662"/>
    <n v="0.95"/>
    <n v="10.47858174820529"/>
    <n v="269.44190748770097"/>
    <n v="324.35016454071598"/>
    <n v="214.207735712931"/>
    <n v="393.64559223721699"/>
    <n v="10.6"/>
    <n v="10.47858174820529"/>
    <n v="10"/>
    <n v="1"/>
  </r>
  <r>
    <x v="0"/>
    <s v="2022-12-22 20:16:34"/>
    <n v="9"/>
    <x v="0"/>
    <x v="5"/>
    <x v="0"/>
    <n v="784.82994150391403"/>
    <n v="2E+20"/>
    <n v="0"/>
    <n v="1496.9263218839001"/>
    <n v="11"/>
    <s v="Unnamed ProjectPICTURE_AZULWait TimeEntity"/>
    <n v="10"/>
    <n v="447.30584815687496"/>
    <n v="289.75452784876359"/>
    <n v="0.95"/>
    <n v="207.27790253288231"/>
    <n v="213.64883503534199"/>
    <n v="1101.7461806817701"/>
    <n v="0"/>
    <n v="2023.15343968925"/>
    <n v="10.6"/>
    <n v="207.27790253288231"/>
    <n v="10"/>
    <n v="1"/>
  </r>
  <r>
    <x v="0"/>
    <s v="2022-12-22 20:16:34"/>
    <n v="10"/>
    <x v="0"/>
    <x v="0"/>
    <x v="0"/>
    <n v="0"/>
    <n v="2E+20"/>
    <n v="0"/>
    <n v="0"/>
    <n v="11"/>
    <s v="Unnamed ProjectPICTURE_AZULNVA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10"/>
    <x v="0"/>
    <x v="1"/>
    <x v="0"/>
    <n v="0"/>
    <n v="2E+20"/>
    <n v="0"/>
    <n v="0"/>
    <n v="11"/>
    <s v="Unnamed ProjectPICTURE_AZULOther TimeEntity"/>
    <n v="10"/>
    <n v="0"/>
    <n v="0"/>
    <n v="0.95"/>
    <n v="0"/>
    <n v="0"/>
    <n v="0"/>
    <n v="0"/>
    <n v="0"/>
    <n v="10.6"/>
    <n v="0"/>
    <n v="10"/>
    <n v="1"/>
  </r>
  <r>
    <x v="0"/>
    <s v="2022-12-22 20:16:34"/>
    <n v="10"/>
    <x v="0"/>
    <x v="2"/>
    <x v="0"/>
    <n v="569.07705189201204"/>
    <n v="2E+20"/>
    <n v="330.49808191263202"/>
    <n v="978.14760694060897"/>
    <n v="11"/>
    <s v="Unnamed ProjectPICTURE_AZULTotal TimeEntity"/>
    <n v="10"/>
    <n v="784.20112236206649"/>
    <n v="282.64588059039443"/>
    <n v="0.95"/>
    <n v="202.1926826244985"/>
    <n v="555.91771048054204"/>
    <n v="1428.38076392469"/>
    <n v="254.207735712931"/>
    <n v="2305.7438129920101"/>
    <n v="10.6"/>
    <n v="202.1926826244985"/>
    <n v="10"/>
    <n v="1"/>
  </r>
  <r>
    <x v="0"/>
    <s v="2022-12-22 20:16:34"/>
    <n v="10"/>
    <x v="0"/>
    <x v="3"/>
    <x v="0"/>
    <n v="40"/>
    <n v="2E+20"/>
    <n v="40"/>
    <n v="40"/>
    <n v="11"/>
    <s v="Unnamed ProjectPICTURE_AZULTransfer TimeEntity"/>
    <n v="10"/>
    <n v="40"/>
    <n v="0"/>
    <n v="0.95"/>
    <n v="0"/>
    <n v="40"/>
    <n v="40"/>
    <n v="40"/>
    <n v="40.000000000000199"/>
    <n v="10.6"/>
    <n v="0"/>
    <n v="10"/>
    <n v="1"/>
  </r>
  <r>
    <x v="0"/>
    <s v="2022-12-22 20:16:34"/>
    <n v="10"/>
    <x v="0"/>
    <x v="4"/>
    <x v="0"/>
    <n v="298.95072011894302"/>
    <n v="2E+20"/>
    <n v="226.40434034322899"/>
    <n v="367.36185052648398"/>
    <n v="11"/>
    <s v="Unnamed ProjectPICTURE_AZULVA TimeEntity"/>
    <n v="10"/>
    <n v="296.89527420519096"/>
    <n v="14.648047234529662"/>
    <n v="0.95"/>
    <n v="10.47858174820529"/>
    <n v="269.44190748770097"/>
    <n v="324.35016454071598"/>
    <n v="214.207735712931"/>
    <n v="393.64559223721699"/>
    <n v="10.6"/>
    <n v="10.47858174820529"/>
    <n v="10"/>
    <n v="1"/>
  </r>
  <r>
    <x v="0"/>
    <s v="2022-12-22 20:16:34"/>
    <n v="10"/>
    <x v="0"/>
    <x v="5"/>
    <x v="0"/>
    <n v="230.12633177306901"/>
    <n v="2E+20"/>
    <n v="0"/>
    <n v="711.74326659738006"/>
    <n v="11"/>
    <s v="Unnamed ProjectPICTURE_AZULWait TimeEntity"/>
    <n v="10"/>
    <n v="447.30584815687496"/>
    <n v="289.75452784876359"/>
    <n v="0.95"/>
    <n v="207.27790253288231"/>
    <n v="213.64883503534199"/>
    <n v="1101.7461806817701"/>
    <n v="0"/>
    <n v="2023.15343968925"/>
    <n v="10.6"/>
    <n v="207.27790253288231"/>
    <n v="10"/>
    <n v="1"/>
  </r>
  <r>
    <x v="0"/>
    <s v="2022-12-22 20:16:34"/>
    <n v="1"/>
    <x v="1"/>
    <x v="0"/>
    <x v="0"/>
    <n v="0"/>
    <n v="2E+20"/>
    <n v="0"/>
    <n v="0"/>
    <n v="11"/>
    <s v="Unnamed ProjectPICTURE_VERDENVA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1"/>
    <x v="1"/>
    <x v="1"/>
    <x v="0"/>
    <n v="0"/>
    <n v="2E+20"/>
    <n v="0"/>
    <n v="0"/>
    <n v="11"/>
    <s v="Unnamed ProjectPICTURE_VERDEOther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1"/>
    <x v="1"/>
    <x v="2"/>
    <x v="0"/>
    <n v="856.84440550228203"/>
    <n v="2E+20"/>
    <n v="598.83065262159801"/>
    <n v="1296.45957168727"/>
    <n v="11"/>
    <s v="Unnamed ProjectPICTURE_VERDETotal TimeEntity"/>
    <n v="10"/>
    <n v="843.00052378185433"/>
    <n v="112.94623820362342"/>
    <n v="0.95"/>
    <n v="80.796871502369726"/>
    <n v="693.57154946023297"/>
    <n v="1028.16400120407"/>
    <n v="526.77529154307194"/>
    <n v="1511.4787978939"/>
    <n v="8.9"/>
    <n v="80.796871502369726"/>
    <n v="10"/>
    <n v="1"/>
  </r>
  <r>
    <x v="0"/>
    <s v="2022-12-22 20:16:34"/>
    <n v="1"/>
    <x v="1"/>
    <x v="3"/>
    <x v="0"/>
    <n v="60"/>
    <n v="2E+20"/>
    <n v="60"/>
    <n v="60"/>
    <n v="11"/>
    <s v="Unnamed ProjectPICTURE_VERDETransfer TimeEntity"/>
    <n v="10"/>
    <n v="60"/>
    <n v="0"/>
    <n v="0.95"/>
    <n v="0"/>
    <n v="60"/>
    <n v="60"/>
    <n v="59.999999999999801"/>
    <n v="60.000000000000497"/>
    <n v="8.9"/>
    <n v="0"/>
    <n v="10"/>
    <n v="1"/>
  </r>
  <r>
    <x v="0"/>
    <s v="2022-12-22 20:16:34"/>
    <n v="1"/>
    <x v="1"/>
    <x v="4"/>
    <x v="0"/>
    <n v="574.24939700941604"/>
    <n v="2E+20"/>
    <n v="472.97331809348401"/>
    <n v="638.87033632671898"/>
    <n v="11"/>
    <s v="Unnamed ProjectPICTURE_VERDEVA TimeEntity"/>
    <n v="10"/>
    <n v="549.39073712765003"/>
    <n v="18.451083494018864"/>
    <n v="0.95"/>
    <n v="13.199110000087735"/>
    <n v="509.98229231863002"/>
    <n v="574.24939700941604"/>
    <n v="432.83863966813101"/>
    <n v="638.87033632671898"/>
    <n v="8.9"/>
    <n v="13.199110000087735"/>
    <n v="10"/>
    <n v="1"/>
  </r>
  <r>
    <x v="0"/>
    <s v="2022-12-22 20:16:34"/>
    <n v="1"/>
    <x v="1"/>
    <x v="5"/>
    <x v="0"/>
    <n v="222.59500849286499"/>
    <n v="2E+20"/>
    <n v="0"/>
    <n v="617.350886126962"/>
    <n v="11"/>
    <s v="Unnamed ProjectPICTURE_VERDEWait TimeEntity"/>
    <n v="10"/>
    <n v="233.60978665420402"/>
    <n v="110.00650223339252"/>
    <n v="0.95"/>
    <n v="78.693911074334679"/>
    <n v="89.514830561986003"/>
    <n v="422.37720377067598"/>
    <n v="0"/>
    <n v="976.52388020276601"/>
    <n v="8.9"/>
    <n v="78.693911074334679"/>
    <n v="10"/>
    <n v="1"/>
  </r>
  <r>
    <x v="0"/>
    <s v="2022-12-22 20:16:34"/>
    <n v="2"/>
    <x v="1"/>
    <x v="0"/>
    <x v="0"/>
    <n v="0"/>
    <n v="2E+20"/>
    <n v="0"/>
    <n v="0"/>
    <n v="7"/>
    <s v="Unnamed ProjectPICTURE_VERDENVA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2"/>
    <x v="1"/>
    <x v="1"/>
    <x v="0"/>
    <n v="0"/>
    <n v="2E+20"/>
    <n v="0"/>
    <n v="0"/>
    <n v="7"/>
    <s v="Unnamed ProjectPICTURE_VERDEOther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2"/>
    <x v="1"/>
    <x v="2"/>
    <x v="0"/>
    <n v="789.59270210365503"/>
    <n v="2E+20"/>
    <n v="561.37220849108905"/>
    <n v="1038.2541069132801"/>
    <n v="7"/>
    <s v="Unnamed ProjectPICTURE_VERDETotal TimeEntity"/>
    <n v="10"/>
    <n v="843.00052378185433"/>
    <n v="112.94623820362342"/>
    <n v="0.95"/>
    <n v="80.796871502369726"/>
    <n v="693.57154946023297"/>
    <n v="1028.16400120407"/>
    <n v="526.77529154307194"/>
    <n v="1511.4787978939"/>
    <n v="8.9"/>
    <n v="80.796871502369726"/>
    <n v="10"/>
    <n v="1"/>
  </r>
  <r>
    <x v="0"/>
    <s v="2022-12-22 20:16:34"/>
    <n v="2"/>
    <x v="1"/>
    <x v="3"/>
    <x v="0"/>
    <n v="60"/>
    <n v="2E+20"/>
    <n v="60"/>
    <n v="60"/>
    <n v="7"/>
    <s v="Unnamed ProjectPICTURE_VERDETransfer TimeEntity"/>
    <n v="10"/>
    <n v="60"/>
    <n v="0"/>
    <n v="0.95"/>
    <n v="0"/>
    <n v="60"/>
    <n v="60"/>
    <n v="59.999999999999801"/>
    <n v="60.000000000000497"/>
    <n v="8.9"/>
    <n v="0"/>
    <n v="10"/>
    <n v="1"/>
  </r>
  <r>
    <x v="0"/>
    <s v="2022-12-22 20:16:34"/>
    <n v="2"/>
    <x v="1"/>
    <x v="4"/>
    <x v="0"/>
    <n v="545.20437827712601"/>
    <n v="2E+20"/>
    <n v="450.871974635534"/>
    <n v="588.89328003040805"/>
    <n v="7"/>
    <s v="Unnamed ProjectPICTURE_VERDEVA TimeEntity"/>
    <n v="10"/>
    <n v="549.39073712765003"/>
    <n v="18.451083494018864"/>
    <n v="0.95"/>
    <n v="13.199110000087735"/>
    <n v="509.98229231863002"/>
    <n v="574.24939700941604"/>
    <n v="432.83863966813101"/>
    <n v="638.87033632671898"/>
    <n v="8.9"/>
    <n v="13.199110000087735"/>
    <n v="10"/>
    <n v="1"/>
  </r>
  <r>
    <x v="0"/>
    <s v="2022-12-22 20:16:34"/>
    <n v="2"/>
    <x v="1"/>
    <x v="5"/>
    <x v="0"/>
    <n v="184.38832382652899"/>
    <n v="2E+20"/>
    <n v="0"/>
    <n v="417.76185403851599"/>
    <n v="7"/>
    <s v="Unnamed ProjectPICTURE_VERDEWait TimeEntity"/>
    <n v="10"/>
    <n v="233.60978665420402"/>
    <n v="110.00650223339252"/>
    <n v="0.95"/>
    <n v="78.693911074334679"/>
    <n v="89.514830561986003"/>
    <n v="422.37720377067598"/>
    <n v="0"/>
    <n v="976.52388020276601"/>
    <n v="8.9"/>
    <n v="78.693911074334679"/>
    <n v="10"/>
    <n v="1"/>
  </r>
  <r>
    <x v="0"/>
    <s v="2022-12-22 20:16:34"/>
    <n v="3"/>
    <x v="1"/>
    <x v="0"/>
    <x v="0"/>
    <n v="0"/>
    <n v="2E+20"/>
    <n v="0"/>
    <n v="0"/>
    <n v="9"/>
    <s v="Unnamed ProjectPICTURE_VERDENVA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3"/>
    <x v="1"/>
    <x v="1"/>
    <x v="0"/>
    <n v="0"/>
    <n v="2E+20"/>
    <n v="0"/>
    <n v="0"/>
    <n v="9"/>
    <s v="Unnamed ProjectPICTURE_VERDEOther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3"/>
    <x v="1"/>
    <x v="2"/>
    <x v="0"/>
    <n v="868.32544445404994"/>
    <n v="2E+20"/>
    <n v="537.26636878218596"/>
    <n v="1358.8395015660301"/>
    <n v="9"/>
    <s v="Unnamed ProjectPICTURE_VERDETotal TimeEntity"/>
    <n v="10"/>
    <n v="843.00052378185433"/>
    <n v="112.94623820362342"/>
    <n v="0.95"/>
    <n v="80.796871502369726"/>
    <n v="693.57154946023297"/>
    <n v="1028.16400120407"/>
    <n v="526.77529154307194"/>
    <n v="1511.4787978939"/>
    <n v="8.9"/>
    <n v="80.796871502369726"/>
    <n v="10"/>
    <n v="1"/>
  </r>
  <r>
    <x v="0"/>
    <s v="2022-12-22 20:16:34"/>
    <n v="3"/>
    <x v="1"/>
    <x v="3"/>
    <x v="0"/>
    <n v="60"/>
    <n v="2E+20"/>
    <n v="60"/>
    <n v="60"/>
    <n v="9"/>
    <s v="Unnamed ProjectPICTURE_VERDETransfer TimeEntity"/>
    <n v="10"/>
    <n v="60"/>
    <n v="0"/>
    <n v="0.95"/>
    <n v="0"/>
    <n v="60"/>
    <n v="60"/>
    <n v="59.999999999999801"/>
    <n v="60.000000000000497"/>
    <n v="8.9"/>
    <n v="0"/>
    <n v="10"/>
    <n v="1"/>
  </r>
  <r>
    <x v="0"/>
    <s v="2022-12-22 20:16:34"/>
    <n v="3"/>
    <x v="1"/>
    <x v="4"/>
    <x v="0"/>
    <n v="551.85625711451303"/>
    <n v="2E+20"/>
    <n v="477.26636878218602"/>
    <n v="638.60996047737001"/>
    <n v="9"/>
    <s v="Unnamed ProjectPICTURE_VERDEVA TimeEntity"/>
    <n v="10"/>
    <n v="549.39073712765003"/>
    <n v="18.451083494018864"/>
    <n v="0.95"/>
    <n v="13.199110000087735"/>
    <n v="509.98229231863002"/>
    <n v="574.24939700941604"/>
    <n v="432.83863966813101"/>
    <n v="638.87033632671898"/>
    <n v="8.9"/>
    <n v="13.199110000087735"/>
    <n v="10"/>
    <n v="1"/>
  </r>
  <r>
    <x v="0"/>
    <s v="2022-12-22 20:16:34"/>
    <n v="3"/>
    <x v="1"/>
    <x v="5"/>
    <x v="0"/>
    <n v="256.46918733953697"/>
    <n v="2E+20"/>
    <n v="0"/>
    <n v="701.54897663321594"/>
    <n v="9"/>
    <s v="Unnamed ProjectPICTURE_VERDEWait TimeEntity"/>
    <n v="10"/>
    <n v="233.60978665420402"/>
    <n v="110.00650223339252"/>
    <n v="0.95"/>
    <n v="78.693911074334679"/>
    <n v="89.514830561986003"/>
    <n v="422.37720377067598"/>
    <n v="0"/>
    <n v="976.52388020276601"/>
    <n v="8.9"/>
    <n v="78.693911074334679"/>
    <n v="10"/>
    <n v="1"/>
  </r>
  <r>
    <x v="0"/>
    <s v="2022-12-22 20:16:34"/>
    <n v="4"/>
    <x v="1"/>
    <x v="0"/>
    <x v="0"/>
    <n v="0"/>
    <n v="2E+20"/>
    <n v="0"/>
    <n v="0"/>
    <n v="11"/>
    <s v="Unnamed ProjectPICTURE_VERDENVA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4"/>
    <x v="1"/>
    <x v="1"/>
    <x v="0"/>
    <n v="0"/>
    <n v="2E+20"/>
    <n v="0"/>
    <n v="0"/>
    <n v="11"/>
    <s v="Unnamed ProjectPICTURE_VERDEOther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4"/>
    <x v="1"/>
    <x v="2"/>
    <x v="0"/>
    <n v="1020.62331455668"/>
    <n v="2E+20"/>
    <n v="687.56749056259002"/>
    <n v="1433.3445429482099"/>
    <n v="11"/>
    <s v="Unnamed ProjectPICTURE_VERDETotal TimeEntity"/>
    <n v="10"/>
    <n v="843.00052378185433"/>
    <n v="112.94623820362342"/>
    <n v="0.95"/>
    <n v="80.796871502369726"/>
    <n v="693.57154946023297"/>
    <n v="1028.16400120407"/>
    <n v="526.77529154307194"/>
    <n v="1511.4787978939"/>
    <n v="8.9"/>
    <n v="80.796871502369726"/>
    <n v="10"/>
    <n v="1"/>
  </r>
  <r>
    <x v="0"/>
    <s v="2022-12-22 20:16:34"/>
    <n v="4"/>
    <x v="1"/>
    <x v="3"/>
    <x v="0"/>
    <n v="60"/>
    <n v="2E+20"/>
    <n v="59.999999999999801"/>
    <n v="60.000000000000497"/>
    <n v="11"/>
    <s v="Unnamed ProjectPICTURE_VERDETransfer TimeEntity"/>
    <n v="10"/>
    <n v="60"/>
    <n v="0"/>
    <n v="0.95"/>
    <n v="0"/>
    <n v="60"/>
    <n v="60"/>
    <n v="59.999999999999801"/>
    <n v="60.000000000000497"/>
    <n v="8.9"/>
    <n v="0"/>
    <n v="10"/>
    <n v="1"/>
  </r>
  <r>
    <x v="0"/>
    <s v="2022-12-22 20:16:34"/>
    <n v="4"/>
    <x v="1"/>
    <x v="4"/>
    <x v="0"/>
    <n v="570.33496070983404"/>
    <n v="2E+20"/>
    <n v="513.30849458361502"/>
    <n v="628.60329949505297"/>
    <n v="11"/>
    <s v="Unnamed ProjectPICTURE_VERDEVA TimeEntity"/>
    <n v="10"/>
    <n v="549.39073712765003"/>
    <n v="18.451083494018864"/>
    <n v="0.95"/>
    <n v="13.199110000087735"/>
    <n v="509.98229231863002"/>
    <n v="574.24939700941604"/>
    <n v="432.83863966813101"/>
    <n v="638.87033632671898"/>
    <n v="8.9"/>
    <n v="13.199110000087735"/>
    <n v="10"/>
    <n v="1"/>
  </r>
  <r>
    <x v="0"/>
    <s v="2022-12-22 20:16:34"/>
    <n v="4"/>
    <x v="1"/>
    <x v="5"/>
    <x v="0"/>
    <n v="390.28835384684402"/>
    <n v="2E+20"/>
    <n v="0"/>
    <n v="843.91745885542605"/>
    <n v="11"/>
    <s v="Unnamed ProjectPICTURE_VERDEWait TimeEntity"/>
    <n v="10"/>
    <n v="233.60978665420402"/>
    <n v="110.00650223339252"/>
    <n v="0.95"/>
    <n v="78.693911074334679"/>
    <n v="89.514830561986003"/>
    <n v="422.37720377067598"/>
    <n v="0"/>
    <n v="976.52388020276601"/>
    <n v="8.9"/>
    <n v="78.693911074334679"/>
    <n v="10"/>
    <n v="1"/>
  </r>
  <r>
    <x v="0"/>
    <s v="2022-12-22 20:16:34"/>
    <n v="5"/>
    <x v="1"/>
    <x v="0"/>
    <x v="0"/>
    <n v="0"/>
    <n v="2E+20"/>
    <n v="0"/>
    <n v="0"/>
    <n v="8"/>
    <s v="Unnamed ProjectPICTURE_VERDENVA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5"/>
    <x v="1"/>
    <x v="1"/>
    <x v="0"/>
    <n v="0"/>
    <n v="2E+20"/>
    <n v="0"/>
    <n v="0"/>
    <n v="8"/>
    <s v="Unnamed ProjectPICTURE_VERDEOther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5"/>
    <x v="1"/>
    <x v="2"/>
    <x v="0"/>
    <n v="784.50776212100402"/>
    <n v="2E+20"/>
    <n v="556.680501816591"/>
    <n v="1150.5434271079901"/>
    <n v="8"/>
    <s v="Unnamed ProjectPICTURE_VERDETotal TimeEntity"/>
    <n v="10"/>
    <n v="843.00052378185433"/>
    <n v="112.94623820362342"/>
    <n v="0.95"/>
    <n v="80.796871502369726"/>
    <n v="693.57154946023297"/>
    <n v="1028.16400120407"/>
    <n v="526.77529154307194"/>
    <n v="1511.4787978939"/>
    <n v="8.9"/>
    <n v="80.796871502369726"/>
    <n v="10"/>
    <n v="1"/>
  </r>
  <r>
    <x v="0"/>
    <s v="2022-12-22 20:16:34"/>
    <n v="5"/>
    <x v="1"/>
    <x v="3"/>
    <x v="0"/>
    <n v="60"/>
    <n v="2E+20"/>
    <n v="60"/>
    <n v="60"/>
    <n v="8"/>
    <s v="Unnamed ProjectPICTURE_VERDETransfer TimeEntity"/>
    <n v="10"/>
    <n v="60"/>
    <n v="0"/>
    <n v="0.95"/>
    <n v="0"/>
    <n v="60"/>
    <n v="60"/>
    <n v="59.999999999999801"/>
    <n v="60.000000000000497"/>
    <n v="8.9"/>
    <n v="0"/>
    <n v="10"/>
    <n v="1"/>
  </r>
  <r>
    <x v="0"/>
    <s v="2022-12-22 20:16:34"/>
    <n v="5"/>
    <x v="1"/>
    <x v="4"/>
    <x v="0"/>
    <n v="509.98229231863002"/>
    <n v="2E+20"/>
    <n v="445.76151894693101"/>
    <n v="553.63194684878204"/>
    <n v="8"/>
    <s v="Unnamed ProjectPICTURE_VERDEVA TimeEntity"/>
    <n v="10"/>
    <n v="549.39073712765003"/>
    <n v="18.451083494018864"/>
    <n v="0.95"/>
    <n v="13.199110000087735"/>
    <n v="509.98229231863002"/>
    <n v="574.24939700941604"/>
    <n v="432.83863966813101"/>
    <n v="638.87033632671898"/>
    <n v="8.9"/>
    <n v="13.199110000087735"/>
    <n v="10"/>
    <n v="1"/>
  </r>
  <r>
    <x v="0"/>
    <s v="2022-12-22 20:16:34"/>
    <n v="5"/>
    <x v="1"/>
    <x v="5"/>
    <x v="0"/>
    <n v="214.525469802374"/>
    <n v="2E+20"/>
    <n v="0"/>
    <n v="603.49786147541499"/>
    <n v="8"/>
    <s v="Unnamed ProjectPICTURE_VERDEWait TimeEntity"/>
    <n v="10"/>
    <n v="233.60978665420402"/>
    <n v="110.00650223339252"/>
    <n v="0.95"/>
    <n v="78.693911074334679"/>
    <n v="89.514830561986003"/>
    <n v="422.37720377067598"/>
    <n v="0"/>
    <n v="976.52388020276601"/>
    <n v="8.9"/>
    <n v="78.693911074334679"/>
    <n v="10"/>
    <n v="1"/>
  </r>
  <r>
    <x v="0"/>
    <s v="2022-12-22 20:16:34"/>
    <n v="6"/>
    <x v="1"/>
    <x v="0"/>
    <x v="0"/>
    <n v="0"/>
    <n v="2E+20"/>
    <n v="0"/>
    <n v="0"/>
    <n v="7"/>
    <s v="Unnamed ProjectPICTURE_VERDENVA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6"/>
    <x v="1"/>
    <x v="1"/>
    <x v="0"/>
    <n v="0"/>
    <n v="2E+20"/>
    <n v="0"/>
    <n v="0"/>
    <n v="7"/>
    <s v="Unnamed ProjectPICTURE_VERDEOther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6"/>
    <x v="1"/>
    <x v="2"/>
    <x v="0"/>
    <n v="790.53690059251301"/>
    <n v="2E+20"/>
    <n v="598.503466205329"/>
    <n v="1015.2187728249301"/>
    <n v="7"/>
    <s v="Unnamed ProjectPICTURE_VERDETotal TimeEntity"/>
    <n v="10"/>
    <n v="843.00052378185433"/>
    <n v="112.94623820362342"/>
    <n v="0.95"/>
    <n v="80.796871502369726"/>
    <n v="693.57154946023297"/>
    <n v="1028.16400120407"/>
    <n v="526.77529154307194"/>
    <n v="1511.4787978939"/>
    <n v="8.9"/>
    <n v="80.796871502369726"/>
    <n v="10"/>
    <n v="1"/>
  </r>
  <r>
    <x v="0"/>
    <s v="2022-12-22 20:16:34"/>
    <n v="6"/>
    <x v="1"/>
    <x v="3"/>
    <x v="0"/>
    <n v="60"/>
    <n v="2E+20"/>
    <n v="60"/>
    <n v="60"/>
    <n v="7"/>
    <s v="Unnamed ProjectPICTURE_VERDETransfer TimeEntity"/>
    <n v="10"/>
    <n v="60"/>
    <n v="0"/>
    <n v="0.95"/>
    <n v="0"/>
    <n v="60"/>
    <n v="60"/>
    <n v="59.999999999999801"/>
    <n v="60.000000000000497"/>
    <n v="8.9"/>
    <n v="0"/>
    <n v="10"/>
    <n v="1"/>
  </r>
  <r>
    <x v="0"/>
    <s v="2022-12-22 20:16:34"/>
    <n v="6"/>
    <x v="1"/>
    <x v="4"/>
    <x v="0"/>
    <n v="546.476464488597"/>
    <n v="2E+20"/>
    <n v="503.51493514029102"/>
    <n v="573.87957304127599"/>
    <n v="7"/>
    <s v="Unnamed ProjectPICTURE_VERDEVA TimeEntity"/>
    <n v="10"/>
    <n v="549.39073712765003"/>
    <n v="18.451083494018864"/>
    <n v="0.95"/>
    <n v="13.199110000087735"/>
    <n v="509.98229231863002"/>
    <n v="574.24939700941604"/>
    <n v="432.83863966813101"/>
    <n v="638.87033632671898"/>
    <n v="8.9"/>
    <n v="13.199110000087735"/>
    <n v="10"/>
    <n v="1"/>
  </r>
  <r>
    <x v="0"/>
    <s v="2022-12-22 20:16:34"/>
    <n v="6"/>
    <x v="1"/>
    <x v="5"/>
    <x v="0"/>
    <n v="184.060436103916"/>
    <n v="2E+20"/>
    <n v="0"/>
    <n v="451.70383768464001"/>
    <n v="7"/>
    <s v="Unnamed ProjectPICTURE_VERDEWait TimeEntity"/>
    <n v="10"/>
    <n v="233.60978665420402"/>
    <n v="110.00650223339252"/>
    <n v="0.95"/>
    <n v="78.693911074334679"/>
    <n v="89.514830561986003"/>
    <n v="422.37720377067598"/>
    <n v="0"/>
    <n v="976.52388020276601"/>
    <n v="8.9"/>
    <n v="78.693911074334679"/>
    <n v="10"/>
    <n v="1"/>
  </r>
  <r>
    <x v="0"/>
    <s v="2022-12-22 20:16:34"/>
    <n v="7"/>
    <x v="1"/>
    <x v="0"/>
    <x v="0"/>
    <n v="0"/>
    <n v="2E+20"/>
    <n v="0"/>
    <n v="0"/>
    <n v="8"/>
    <s v="Unnamed ProjectPICTURE_VERDENVA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7"/>
    <x v="1"/>
    <x v="1"/>
    <x v="0"/>
    <n v="0"/>
    <n v="2E+20"/>
    <n v="0"/>
    <n v="0"/>
    <n v="8"/>
    <s v="Unnamed ProjectPICTURE_VERDEOther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7"/>
    <x v="1"/>
    <x v="2"/>
    <x v="0"/>
    <n v="718.60210706450505"/>
    <n v="2E+20"/>
    <n v="585.09772281199105"/>
    <n v="929.70896457078004"/>
    <n v="8"/>
    <s v="Unnamed ProjectPICTURE_VERDETotal TimeEntity"/>
    <n v="10"/>
    <n v="843.00052378185433"/>
    <n v="112.94623820362342"/>
    <n v="0.95"/>
    <n v="80.796871502369726"/>
    <n v="693.57154946023297"/>
    <n v="1028.16400120407"/>
    <n v="526.77529154307194"/>
    <n v="1511.4787978939"/>
    <n v="8.9"/>
    <n v="80.796871502369726"/>
    <n v="10"/>
    <n v="1"/>
  </r>
  <r>
    <x v="0"/>
    <s v="2022-12-22 20:16:34"/>
    <n v="7"/>
    <x v="1"/>
    <x v="3"/>
    <x v="0"/>
    <n v="60"/>
    <n v="2E+20"/>
    <n v="60"/>
    <n v="60"/>
    <n v="8"/>
    <s v="Unnamed ProjectPICTURE_VERDETransfer TimeEntity"/>
    <n v="10"/>
    <n v="60"/>
    <n v="0"/>
    <n v="0.95"/>
    <n v="0"/>
    <n v="60"/>
    <n v="60"/>
    <n v="59.999999999999801"/>
    <n v="60.000000000000497"/>
    <n v="8.9"/>
    <n v="0"/>
    <n v="10"/>
    <n v="1"/>
  </r>
  <r>
    <x v="0"/>
    <s v="2022-12-22 20:16:34"/>
    <n v="7"/>
    <x v="1"/>
    <x v="4"/>
    <x v="0"/>
    <n v="566.30370569432"/>
    <n v="2E+20"/>
    <n v="525.09772281199105"/>
    <n v="634.09223843997404"/>
    <n v="8"/>
    <s v="Unnamed ProjectPICTURE_VERDEVA TimeEntity"/>
    <n v="10"/>
    <n v="549.39073712765003"/>
    <n v="18.451083494018864"/>
    <n v="0.95"/>
    <n v="13.199110000087735"/>
    <n v="509.98229231863002"/>
    <n v="574.24939700941604"/>
    <n v="432.83863966813101"/>
    <n v="638.87033632671898"/>
    <n v="8.9"/>
    <n v="13.199110000087735"/>
    <n v="10"/>
    <n v="1"/>
  </r>
  <r>
    <x v="0"/>
    <s v="2022-12-22 20:16:34"/>
    <n v="7"/>
    <x v="1"/>
    <x v="5"/>
    <x v="0"/>
    <n v="92.298401370185402"/>
    <n v="2E+20"/>
    <n v="0"/>
    <n v="330.363336859951"/>
    <n v="8"/>
    <s v="Unnamed ProjectPICTURE_VERDEWait TimeEntity"/>
    <n v="10"/>
    <n v="233.60978665420402"/>
    <n v="110.00650223339252"/>
    <n v="0.95"/>
    <n v="78.693911074334679"/>
    <n v="89.514830561986003"/>
    <n v="422.37720377067598"/>
    <n v="0"/>
    <n v="976.52388020276601"/>
    <n v="8.9"/>
    <n v="78.693911074334679"/>
    <n v="10"/>
    <n v="1"/>
  </r>
  <r>
    <x v="0"/>
    <s v="2022-12-22 20:16:34"/>
    <n v="8"/>
    <x v="1"/>
    <x v="0"/>
    <x v="0"/>
    <n v="0"/>
    <n v="2E+20"/>
    <n v="0"/>
    <n v="0"/>
    <n v="6"/>
    <s v="Unnamed ProjectPICTURE_VERDENVA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8"/>
    <x v="1"/>
    <x v="1"/>
    <x v="0"/>
    <n v="0"/>
    <n v="2E+20"/>
    <n v="0"/>
    <n v="0"/>
    <n v="6"/>
    <s v="Unnamed ProjectPICTURE_VERDEOther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8"/>
    <x v="1"/>
    <x v="2"/>
    <x v="0"/>
    <n v="693.57154946023297"/>
    <n v="2E+20"/>
    <n v="528.65835084081698"/>
    <n v="993.79546009182695"/>
    <n v="6"/>
    <s v="Unnamed ProjectPICTURE_VERDETotal TimeEntity"/>
    <n v="10"/>
    <n v="843.00052378185433"/>
    <n v="112.94623820362342"/>
    <n v="0.95"/>
    <n v="80.796871502369726"/>
    <n v="693.57154946023297"/>
    <n v="1028.16400120407"/>
    <n v="526.77529154307194"/>
    <n v="1511.4787978939"/>
    <n v="8.9"/>
    <n v="80.796871502369726"/>
    <n v="10"/>
    <n v="1"/>
  </r>
  <r>
    <x v="0"/>
    <s v="2022-12-22 20:16:34"/>
    <n v="8"/>
    <x v="1"/>
    <x v="3"/>
    <x v="0"/>
    <n v="60"/>
    <n v="2E+20"/>
    <n v="60"/>
    <n v="60"/>
    <n v="6"/>
    <s v="Unnamed ProjectPICTURE_VERDETransfer TimeEntity"/>
    <n v="10"/>
    <n v="60"/>
    <n v="0"/>
    <n v="0.95"/>
    <n v="0"/>
    <n v="60"/>
    <n v="60"/>
    <n v="59.999999999999801"/>
    <n v="60.000000000000497"/>
    <n v="8.9"/>
    <n v="0"/>
    <n v="10"/>
    <n v="1"/>
  </r>
  <r>
    <x v="0"/>
    <s v="2022-12-22 20:16:34"/>
    <n v="8"/>
    <x v="1"/>
    <x v="4"/>
    <x v="0"/>
    <n v="544.05671889824703"/>
    <n v="2E+20"/>
    <n v="457.580194230659"/>
    <n v="604.002445775909"/>
    <n v="6"/>
    <s v="Unnamed ProjectPICTURE_VERDEVA TimeEntity"/>
    <n v="10"/>
    <n v="549.39073712765003"/>
    <n v="18.451083494018864"/>
    <n v="0.95"/>
    <n v="13.199110000087735"/>
    <n v="509.98229231863002"/>
    <n v="574.24939700941604"/>
    <n v="432.83863966813101"/>
    <n v="638.87033632671898"/>
    <n v="8.9"/>
    <n v="13.199110000087735"/>
    <n v="10"/>
    <n v="1"/>
  </r>
  <r>
    <x v="0"/>
    <s v="2022-12-22 20:16:34"/>
    <n v="8"/>
    <x v="1"/>
    <x v="5"/>
    <x v="0"/>
    <n v="89.514830561986003"/>
    <n v="2E+20"/>
    <n v="0"/>
    <n v="329.79301431591801"/>
    <n v="6"/>
    <s v="Unnamed ProjectPICTURE_VERDEWait TimeEntity"/>
    <n v="10"/>
    <n v="233.60978665420402"/>
    <n v="110.00650223339252"/>
    <n v="0.95"/>
    <n v="78.693911074334679"/>
    <n v="89.514830561986003"/>
    <n v="422.37720377067598"/>
    <n v="0"/>
    <n v="976.52388020276601"/>
    <n v="8.9"/>
    <n v="78.693911074334679"/>
    <n v="10"/>
    <n v="1"/>
  </r>
  <r>
    <x v="0"/>
    <s v="2022-12-22 20:16:34"/>
    <n v="9"/>
    <x v="1"/>
    <x v="0"/>
    <x v="0"/>
    <n v="0"/>
    <n v="2E+20"/>
    <n v="0"/>
    <n v="0"/>
    <n v="14"/>
    <s v="Unnamed ProjectPICTURE_VERDENVA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9"/>
    <x v="1"/>
    <x v="1"/>
    <x v="0"/>
    <n v="0"/>
    <n v="2E+20"/>
    <n v="0"/>
    <n v="0"/>
    <n v="14"/>
    <s v="Unnamed ProjectPICTURE_VERDEOther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9"/>
    <x v="1"/>
    <x v="2"/>
    <x v="0"/>
    <n v="1028.16400120407"/>
    <n v="2E+20"/>
    <n v="624.07396963456597"/>
    <n v="1511.4787978939"/>
    <n v="14"/>
    <s v="Unnamed ProjectPICTURE_VERDETotal TimeEntity"/>
    <n v="10"/>
    <n v="843.00052378185433"/>
    <n v="112.94623820362342"/>
    <n v="0.95"/>
    <n v="80.796871502369726"/>
    <n v="693.57154946023297"/>
    <n v="1028.16400120407"/>
    <n v="526.77529154307194"/>
    <n v="1511.4787978939"/>
    <n v="8.9"/>
    <n v="80.796871502369726"/>
    <n v="10"/>
    <n v="1"/>
  </r>
  <r>
    <x v="0"/>
    <s v="2022-12-22 20:16:34"/>
    <n v="9"/>
    <x v="1"/>
    <x v="3"/>
    <x v="0"/>
    <n v="60"/>
    <n v="2E+20"/>
    <n v="60"/>
    <n v="60"/>
    <n v="14"/>
    <s v="Unnamed ProjectPICTURE_VERDETransfer TimeEntity"/>
    <n v="10"/>
    <n v="60"/>
    <n v="0"/>
    <n v="0.95"/>
    <n v="0"/>
    <n v="60"/>
    <n v="60"/>
    <n v="59.999999999999801"/>
    <n v="60.000000000000497"/>
    <n v="8.9"/>
    <n v="0"/>
    <n v="10"/>
    <n v="1"/>
  </r>
  <r>
    <x v="0"/>
    <s v="2022-12-22 20:16:34"/>
    <n v="9"/>
    <x v="1"/>
    <x v="4"/>
    <x v="0"/>
    <n v="545.78679743339103"/>
    <n v="2E+20"/>
    <n v="474.95491769113403"/>
    <n v="611.98684984656904"/>
    <n v="14"/>
    <s v="Unnamed ProjectPICTURE_VERDEVA TimeEntity"/>
    <n v="10"/>
    <n v="549.39073712765003"/>
    <n v="18.451083494018864"/>
    <n v="0.95"/>
    <n v="13.199110000087735"/>
    <n v="509.98229231863002"/>
    <n v="574.24939700941604"/>
    <n v="432.83863966813101"/>
    <n v="638.87033632671898"/>
    <n v="8.9"/>
    <n v="13.199110000087735"/>
    <n v="10"/>
    <n v="1"/>
  </r>
  <r>
    <x v="0"/>
    <s v="2022-12-22 20:16:34"/>
    <n v="9"/>
    <x v="1"/>
    <x v="5"/>
    <x v="0"/>
    <n v="422.37720377067598"/>
    <n v="2E+20"/>
    <n v="0"/>
    <n v="976.52388020276601"/>
    <n v="14"/>
    <s v="Unnamed ProjectPICTURE_VERDEWait TimeEntity"/>
    <n v="10"/>
    <n v="233.60978665420402"/>
    <n v="110.00650223339252"/>
    <n v="0.95"/>
    <n v="78.693911074334679"/>
    <n v="89.514830561986003"/>
    <n v="422.37720377067598"/>
    <n v="0"/>
    <n v="976.52388020276601"/>
    <n v="8.9"/>
    <n v="78.693911074334679"/>
    <n v="10"/>
    <n v="1"/>
  </r>
  <r>
    <x v="0"/>
    <s v="2022-12-22 20:16:34"/>
    <n v="10"/>
    <x v="1"/>
    <x v="0"/>
    <x v="0"/>
    <n v="0"/>
    <n v="2E+20"/>
    <n v="0"/>
    <n v="0"/>
    <n v="8"/>
    <s v="Unnamed ProjectPICTURE_VERDENVA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10"/>
    <x v="1"/>
    <x v="1"/>
    <x v="0"/>
    <n v="0"/>
    <n v="2E+20"/>
    <n v="0"/>
    <n v="0"/>
    <n v="8"/>
    <s v="Unnamed ProjectPICTURE_VERDEOther TimeEntity"/>
    <n v="10"/>
    <n v="0"/>
    <n v="0"/>
    <n v="0.95"/>
    <n v="0"/>
    <n v="0"/>
    <n v="0"/>
    <n v="0"/>
    <n v="0"/>
    <n v="8.9"/>
    <n v="0"/>
    <n v="10"/>
    <n v="1"/>
  </r>
  <r>
    <x v="0"/>
    <s v="2022-12-22 20:16:34"/>
    <n v="10"/>
    <x v="1"/>
    <x v="2"/>
    <x v="0"/>
    <n v="879.23705075955195"/>
    <n v="2E+20"/>
    <n v="526.77529154307194"/>
    <n v="1364.2889031939001"/>
    <n v="8"/>
    <s v="Unnamed ProjectPICTURE_VERDETotal TimeEntity"/>
    <n v="10"/>
    <n v="843.00052378185433"/>
    <n v="112.94623820362342"/>
    <n v="0.95"/>
    <n v="80.796871502369726"/>
    <n v="693.57154946023297"/>
    <n v="1028.16400120407"/>
    <n v="526.77529154307194"/>
    <n v="1511.4787978939"/>
    <n v="8.9"/>
    <n v="80.796871502369726"/>
    <n v="10"/>
    <n v="1"/>
  </r>
  <r>
    <x v="0"/>
    <s v="2022-12-22 20:16:34"/>
    <n v="10"/>
    <x v="1"/>
    <x v="3"/>
    <x v="0"/>
    <n v="60"/>
    <n v="2E+20"/>
    <n v="60"/>
    <n v="60"/>
    <n v="8"/>
    <s v="Unnamed ProjectPICTURE_VERDETransfer TimeEntity"/>
    <n v="10"/>
    <n v="60"/>
    <n v="0"/>
    <n v="0.95"/>
    <n v="0"/>
    <n v="60"/>
    <n v="60"/>
    <n v="59.999999999999801"/>
    <n v="60.000000000000497"/>
    <n v="8.9"/>
    <n v="0"/>
    <n v="10"/>
    <n v="1"/>
  </r>
  <r>
    <x v="0"/>
    <s v="2022-12-22 20:16:34"/>
    <n v="10"/>
    <x v="1"/>
    <x v="4"/>
    <x v="0"/>
    <n v="539.65639933242505"/>
    <n v="2E+20"/>
    <n v="432.83863966813101"/>
    <n v="621.43594885022299"/>
    <n v="8"/>
    <s v="Unnamed ProjectPICTURE_VERDEVA TimeEntity"/>
    <n v="10"/>
    <n v="549.39073712765003"/>
    <n v="18.451083494018864"/>
    <n v="0.95"/>
    <n v="13.199110000087735"/>
    <n v="509.98229231863002"/>
    <n v="574.24939700941604"/>
    <n v="432.83863966813101"/>
    <n v="638.87033632671898"/>
    <n v="8.9"/>
    <n v="13.199110000087735"/>
    <n v="10"/>
    <n v="1"/>
  </r>
  <r>
    <x v="0"/>
    <s v="2022-12-22 20:16:34"/>
    <n v="10"/>
    <x v="1"/>
    <x v="5"/>
    <x v="0"/>
    <n v="279.58065142712798"/>
    <n v="2E+20"/>
    <n v="0"/>
    <n v="755.13430474077802"/>
    <n v="8"/>
    <s v="Unnamed ProjectPICTURE_VERDEWait TimeEntity"/>
    <n v="10"/>
    <n v="233.60978665420402"/>
    <n v="110.00650223339252"/>
    <n v="0.95"/>
    <n v="78.693911074334679"/>
    <n v="89.514830561986003"/>
    <n v="422.37720377067598"/>
    <n v="0"/>
    <n v="976.52388020276601"/>
    <n v="8.9"/>
    <n v="78.693911074334679"/>
    <n v="10"/>
    <n v="1"/>
  </r>
  <r>
    <x v="0"/>
    <s v="2022-12-22 20:16:34"/>
    <n v="1"/>
    <x v="2"/>
    <x v="0"/>
    <x v="0"/>
    <n v="0"/>
    <n v="2E+20"/>
    <n v="0"/>
    <n v="0"/>
    <n v="3"/>
    <s v="Unnamed ProjectPICTURE_VERMELHONVA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1"/>
    <x v="2"/>
    <x v="1"/>
    <x v="0"/>
    <n v="0"/>
    <n v="2E+20"/>
    <n v="0"/>
    <n v="0"/>
    <n v="3"/>
    <s v="Unnamed ProjectPICTURE_VERMELHOOther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1"/>
    <x v="2"/>
    <x v="2"/>
    <x v="0"/>
    <n v="1345.4106861661501"/>
    <n v="2E+20"/>
    <n v="1050.1990454705599"/>
    <n v="1769.6688837239999"/>
    <n v="3"/>
    <s v="Unnamed ProjectPICTURE_VERMELHOTotal TimeEntity"/>
    <n v="10"/>
    <n v="1596.674794200479"/>
    <n v="360.17109292347374"/>
    <n v="0.95"/>
    <n v="257.65087865380895"/>
    <n v="1294.7038939982201"/>
    <n v="2480.9683265646399"/>
    <n v="883.654167763744"/>
    <n v="2891.9175620544302"/>
    <n v="3.6"/>
    <n v="257.65087865380895"/>
    <n v="10"/>
    <n v="1"/>
  </r>
  <r>
    <x v="0"/>
    <s v="2022-12-22 20:16:34"/>
    <n v="1"/>
    <x v="2"/>
    <x v="3"/>
    <x v="0"/>
    <n v="80"/>
    <n v="2E+20"/>
    <n v="80"/>
    <n v="80"/>
    <n v="3"/>
    <s v="Unnamed ProjectPICTURE_VERMELHOTransfer TimeEntity"/>
    <n v="10"/>
    <n v="80"/>
    <n v="0"/>
    <n v="0.95"/>
    <n v="0"/>
    <n v="80"/>
    <n v="80"/>
    <n v="80"/>
    <n v="80"/>
    <n v="3.6"/>
    <n v="0"/>
    <n v="10"/>
    <n v="1"/>
  </r>
  <r>
    <x v="0"/>
    <s v="2022-12-22 20:16:34"/>
    <n v="1"/>
    <x v="2"/>
    <x v="4"/>
    <x v="0"/>
    <n v="912.78041487591895"/>
    <n v="2E+20"/>
    <n v="875.11273823995703"/>
    <n v="966.62594297369196"/>
    <n v="3"/>
    <s v="Unnamed ProjectPICTURE_VERMELHOVA TimeEntity"/>
    <n v="10"/>
    <n v="917.06048186514431"/>
    <n v="31.188932790635697"/>
    <n v="0.95"/>
    <n v="22.311218461636159"/>
    <n v="852.00003268033299"/>
    <n v="968.47809802756694"/>
    <n v="738.93909107327204"/>
    <n v="1040.57425091456"/>
    <n v="3.6"/>
    <n v="22.311218461636159"/>
    <n v="10"/>
    <n v="1"/>
  </r>
  <r>
    <x v="0"/>
    <s v="2022-12-22 20:16:34"/>
    <n v="1"/>
    <x v="2"/>
    <x v="5"/>
    <x v="0"/>
    <n v="352.63027129023499"/>
    <n v="2E+20"/>
    <n v="73.596482056456793"/>
    <n v="723.04294075030396"/>
    <n v="3"/>
    <s v="Unnamed ProjectPICTURE_VERMELHOWait TimeEntity"/>
    <n v="10"/>
    <n v="599.61431233533438"/>
    <n v="359.58620743786923"/>
    <n v="0.95"/>
    <n v="257.23247678247975"/>
    <n v="285.81528231910198"/>
    <n v="1469.04982981227"/>
    <n v="0"/>
    <n v="1980.50467332738"/>
    <n v="3.6"/>
    <n v="257.23247678247975"/>
    <n v="10"/>
    <n v="1"/>
  </r>
  <r>
    <x v="0"/>
    <s v="2022-12-22 20:16:34"/>
    <n v="2"/>
    <x v="2"/>
    <x v="0"/>
    <x v="0"/>
    <n v="0"/>
    <n v="2E+20"/>
    <n v="0"/>
    <n v="0"/>
    <n v="5"/>
    <s v="Unnamed ProjectPICTURE_VERMELHONVA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2"/>
    <x v="2"/>
    <x v="1"/>
    <x v="0"/>
    <n v="0"/>
    <n v="2E+20"/>
    <n v="0"/>
    <n v="0"/>
    <n v="5"/>
    <s v="Unnamed ProjectPICTURE_VERMELHOOther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2"/>
    <x v="2"/>
    <x v="2"/>
    <x v="0"/>
    <n v="1767.7178719563201"/>
    <n v="2E+20"/>
    <n v="1541.8145491021801"/>
    <n v="2125.4846768063098"/>
    <n v="5"/>
    <s v="Unnamed ProjectPICTURE_VERMELHOTotal TimeEntity"/>
    <n v="10"/>
    <n v="1596.674794200479"/>
    <n v="360.17109292347374"/>
    <n v="0.95"/>
    <n v="257.65087865380895"/>
    <n v="1294.7038939982201"/>
    <n v="2480.9683265646399"/>
    <n v="883.654167763744"/>
    <n v="2891.9175620544302"/>
    <n v="3.6"/>
    <n v="257.65087865380895"/>
    <n v="10"/>
    <n v="1"/>
  </r>
  <r>
    <x v="0"/>
    <s v="2022-12-22 20:16:34"/>
    <n v="2"/>
    <x v="2"/>
    <x v="3"/>
    <x v="0"/>
    <n v="80"/>
    <n v="2E+20"/>
    <n v="80"/>
    <n v="80"/>
    <n v="5"/>
    <s v="Unnamed ProjectPICTURE_VERMELHOTransfer TimeEntity"/>
    <n v="10"/>
    <n v="80"/>
    <n v="0"/>
    <n v="0.95"/>
    <n v="0"/>
    <n v="80"/>
    <n v="80"/>
    <n v="80"/>
    <n v="80"/>
    <n v="3.6"/>
    <n v="0"/>
    <n v="10"/>
    <n v="1"/>
  </r>
  <r>
    <x v="0"/>
    <s v="2022-12-22 20:16:34"/>
    <n v="2"/>
    <x v="2"/>
    <x v="4"/>
    <x v="0"/>
    <n v="920.60212359496904"/>
    <n v="2E+20"/>
    <n v="836.68950867658805"/>
    <n v="972.00021931670904"/>
    <n v="5"/>
    <s v="Unnamed ProjectPICTURE_VERMELHOVA TimeEntity"/>
    <n v="10"/>
    <n v="917.06048186514431"/>
    <n v="31.188932790635697"/>
    <n v="0.95"/>
    <n v="22.311218461636159"/>
    <n v="852.00003268033299"/>
    <n v="968.47809802756694"/>
    <n v="738.93909107327204"/>
    <n v="1040.57425091456"/>
    <n v="3.6"/>
    <n v="22.311218461636159"/>
    <n v="10"/>
    <n v="1"/>
  </r>
  <r>
    <x v="0"/>
    <s v="2022-12-22 20:16:34"/>
    <n v="2"/>
    <x v="2"/>
    <x v="5"/>
    <x v="0"/>
    <n v="767.11574836134901"/>
    <n v="2E+20"/>
    <n v="509.454711923057"/>
    <n v="1073.4844574895999"/>
    <n v="5"/>
    <s v="Unnamed ProjectPICTURE_VERMELHOWait TimeEntity"/>
    <n v="10"/>
    <n v="599.61431233533438"/>
    <n v="359.58620743786923"/>
    <n v="0.95"/>
    <n v="257.23247678247975"/>
    <n v="285.81528231910198"/>
    <n v="1469.04982981227"/>
    <n v="0"/>
    <n v="1980.50467332738"/>
    <n v="3.6"/>
    <n v="257.23247678247975"/>
    <n v="10"/>
    <n v="1"/>
  </r>
  <r>
    <x v="0"/>
    <s v="2022-12-22 20:16:34"/>
    <n v="3"/>
    <x v="2"/>
    <x v="0"/>
    <x v="0"/>
    <n v="0"/>
    <n v="2E+20"/>
    <n v="0"/>
    <n v="0"/>
    <n v="4"/>
    <s v="Unnamed ProjectPICTURE_VERMELHONVA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3"/>
    <x v="2"/>
    <x v="1"/>
    <x v="0"/>
    <n v="0"/>
    <n v="2E+20"/>
    <n v="0"/>
    <n v="0"/>
    <n v="4"/>
    <s v="Unnamed ProjectPICTURE_VERMELHOOther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3"/>
    <x v="2"/>
    <x v="2"/>
    <x v="0"/>
    <n v="2480.9683265646399"/>
    <n v="2E+20"/>
    <n v="1943.9812521398301"/>
    <n v="2891.9175620544302"/>
    <n v="4"/>
    <s v="Unnamed ProjectPICTURE_VERMELHOTotal TimeEntity"/>
    <n v="10"/>
    <n v="1596.674794200479"/>
    <n v="360.17109292347374"/>
    <n v="0.95"/>
    <n v="257.65087865380895"/>
    <n v="1294.7038939982201"/>
    <n v="2480.9683265646399"/>
    <n v="883.654167763744"/>
    <n v="2891.9175620544302"/>
    <n v="3.6"/>
    <n v="257.65087865380895"/>
    <n v="10"/>
    <n v="1"/>
  </r>
  <r>
    <x v="0"/>
    <s v="2022-12-22 20:16:34"/>
    <n v="3"/>
    <x v="2"/>
    <x v="3"/>
    <x v="0"/>
    <n v="80"/>
    <n v="2E+20"/>
    <n v="80"/>
    <n v="80"/>
    <n v="4"/>
    <s v="Unnamed ProjectPICTURE_VERMELHOTransfer TimeEntity"/>
    <n v="10"/>
    <n v="80"/>
    <n v="0"/>
    <n v="0.95"/>
    <n v="0"/>
    <n v="80"/>
    <n v="80"/>
    <n v="80"/>
    <n v="80"/>
    <n v="3.6"/>
    <n v="0"/>
    <n v="10"/>
    <n v="1"/>
  </r>
  <r>
    <x v="0"/>
    <s v="2022-12-22 20:16:34"/>
    <n v="3"/>
    <x v="2"/>
    <x v="4"/>
    <x v="0"/>
    <n v="931.91849675237302"/>
    <n v="2E+20"/>
    <n v="831.41288872705104"/>
    <n v="989.27927938580206"/>
    <n v="4"/>
    <s v="Unnamed ProjectPICTURE_VERMELHOVA TimeEntity"/>
    <n v="10"/>
    <n v="917.06048186514431"/>
    <n v="31.188932790635697"/>
    <n v="0.95"/>
    <n v="22.311218461636159"/>
    <n v="852.00003268033299"/>
    <n v="968.47809802756694"/>
    <n v="738.93909107327204"/>
    <n v="1040.57425091456"/>
    <n v="3.6"/>
    <n v="22.311218461636159"/>
    <n v="10"/>
    <n v="1"/>
  </r>
  <r>
    <x v="0"/>
    <s v="2022-12-22 20:16:34"/>
    <n v="3"/>
    <x v="2"/>
    <x v="5"/>
    <x v="0"/>
    <n v="1469.04982981227"/>
    <n v="2E+20"/>
    <n v="927.53967872845203"/>
    <n v="1980.50467332738"/>
    <n v="4"/>
    <s v="Unnamed ProjectPICTURE_VERMELHOWait TimeEntity"/>
    <n v="10"/>
    <n v="599.61431233533438"/>
    <n v="359.58620743786923"/>
    <n v="0.95"/>
    <n v="257.23247678247975"/>
    <n v="285.81528231910198"/>
    <n v="1469.04982981227"/>
    <n v="0"/>
    <n v="1980.50467332738"/>
    <n v="3.6"/>
    <n v="257.23247678247975"/>
    <n v="10"/>
    <n v="1"/>
  </r>
  <r>
    <x v="0"/>
    <s v="2022-12-22 20:16:34"/>
    <n v="4"/>
    <x v="2"/>
    <x v="0"/>
    <x v="0"/>
    <n v="0"/>
    <n v="2E+20"/>
    <n v="0"/>
    <n v="0"/>
    <n v="3"/>
    <s v="Unnamed ProjectPICTURE_VERMELHONVA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4"/>
    <x v="2"/>
    <x v="1"/>
    <x v="0"/>
    <n v="0"/>
    <n v="2E+20"/>
    <n v="0"/>
    <n v="0"/>
    <n v="3"/>
    <s v="Unnamed ProjectPICTURE_VERMELHOOther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4"/>
    <x v="2"/>
    <x v="2"/>
    <x v="0"/>
    <n v="1350.1894640134501"/>
    <n v="2E+20"/>
    <n v="1211.93699106997"/>
    <n v="1564.1763715050199"/>
    <n v="3"/>
    <s v="Unnamed ProjectPICTURE_VERMELHOTotal TimeEntity"/>
    <n v="10"/>
    <n v="1596.674794200479"/>
    <n v="360.17109292347374"/>
    <n v="0.95"/>
    <n v="257.65087865380895"/>
    <n v="1294.7038939982201"/>
    <n v="2480.9683265646399"/>
    <n v="883.654167763744"/>
    <n v="2891.9175620544302"/>
    <n v="3.6"/>
    <n v="257.65087865380895"/>
    <n v="10"/>
    <n v="1"/>
  </r>
  <r>
    <x v="0"/>
    <s v="2022-12-22 20:16:34"/>
    <n v="4"/>
    <x v="2"/>
    <x v="3"/>
    <x v="0"/>
    <n v="80"/>
    <n v="2E+20"/>
    <n v="80"/>
    <n v="80"/>
    <n v="3"/>
    <s v="Unnamed ProjectPICTURE_VERMELHOTransfer TimeEntity"/>
    <n v="10"/>
    <n v="80"/>
    <n v="0"/>
    <n v="0.95"/>
    <n v="0"/>
    <n v="80"/>
    <n v="80"/>
    <n v="80"/>
    <n v="80"/>
    <n v="3.6"/>
    <n v="0"/>
    <n v="10"/>
    <n v="1"/>
  </r>
  <r>
    <x v="0"/>
    <s v="2022-12-22 20:16:34"/>
    <n v="4"/>
    <x v="2"/>
    <x v="4"/>
    <x v="0"/>
    <n v="968.47809802756694"/>
    <n v="2E+20"/>
    <n v="891.28223749323104"/>
    <n v="1033.8144697026901"/>
    <n v="3"/>
    <s v="Unnamed ProjectPICTURE_VERMELHOVA TimeEntity"/>
    <n v="10"/>
    <n v="917.06048186514431"/>
    <n v="31.188932790635697"/>
    <n v="0.95"/>
    <n v="22.311218461636159"/>
    <n v="852.00003268033299"/>
    <n v="968.47809802756694"/>
    <n v="738.93909107327204"/>
    <n v="1040.57425091456"/>
    <n v="3.6"/>
    <n v="22.311218461636159"/>
    <n v="10"/>
    <n v="1"/>
  </r>
  <r>
    <x v="0"/>
    <s v="2022-12-22 20:16:34"/>
    <n v="4"/>
    <x v="2"/>
    <x v="5"/>
    <x v="0"/>
    <n v="301.71136598588703"/>
    <n v="2E+20"/>
    <n v="151.599404183188"/>
    <n v="592.89413401178501"/>
    <n v="3"/>
    <s v="Unnamed ProjectPICTURE_VERMELHOWait TimeEntity"/>
    <n v="10"/>
    <n v="599.61431233533438"/>
    <n v="359.58620743786923"/>
    <n v="0.95"/>
    <n v="257.23247678247975"/>
    <n v="285.81528231910198"/>
    <n v="1469.04982981227"/>
    <n v="0"/>
    <n v="1980.50467332738"/>
    <n v="3.6"/>
    <n v="257.23247678247975"/>
    <n v="10"/>
    <n v="1"/>
  </r>
  <r>
    <x v="0"/>
    <s v="2022-12-22 20:16:34"/>
    <n v="5"/>
    <x v="2"/>
    <x v="0"/>
    <x v="0"/>
    <n v="0"/>
    <n v="2E+20"/>
    <n v="0"/>
    <n v="0"/>
    <n v="5"/>
    <s v="Unnamed ProjectPICTURE_VERMELHONVA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5"/>
    <x v="2"/>
    <x v="1"/>
    <x v="0"/>
    <n v="0"/>
    <n v="2E+20"/>
    <n v="0"/>
    <n v="0"/>
    <n v="5"/>
    <s v="Unnamed ProjectPICTURE_VERMELHOOther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5"/>
    <x v="2"/>
    <x v="2"/>
    <x v="0"/>
    <n v="1733.4572227613501"/>
    <n v="2E+20"/>
    <n v="1104.4351142001101"/>
    <n v="2434.4721193539099"/>
    <n v="5"/>
    <s v="Unnamed ProjectPICTURE_VERMELHOTotal TimeEntity"/>
    <n v="10"/>
    <n v="1596.674794200479"/>
    <n v="360.17109292347374"/>
    <n v="0.95"/>
    <n v="257.65087865380895"/>
    <n v="1294.7038939982201"/>
    <n v="2480.9683265646399"/>
    <n v="883.654167763744"/>
    <n v="2891.9175620544302"/>
    <n v="3.6"/>
    <n v="257.65087865380895"/>
    <n v="10"/>
    <n v="1"/>
  </r>
  <r>
    <x v="0"/>
    <s v="2022-12-22 20:16:34"/>
    <n v="5"/>
    <x v="2"/>
    <x v="3"/>
    <x v="0"/>
    <n v="80"/>
    <n v="2E+20"/>
    <n v="80"/>
    <n v="80"/>
    <n v="5"/>
    <s v="Unnamed ProjectPICTURE_VERMELHOTransfer TimeEntity"/>
    <n v="10"/>
    <n v="80"/>
    <n v="0"/>
    <n v="0.95"/>
    <n v="0"/>
    <n v="80"/>
    <n v="80"/>
    <n v="80"/>
    <n v="80"/>
    <n v="3.6"/>
    <n v="0"/>
    <n v="10"/>
    <n v="1"/>
  </r>
  <r>
    <x v="0"/>
    <s v="2022-12-22 20:16:34"/>
    <n v="5"/>
    <x v="2"/>
    <x v="4"/>
    <x v="0"/>
    <n v="910.49105016418798"/>
    <n v="2E+20"/>
    <n v="738.93909107327204"/>
    <n v="1040.57425091456"/>
    <n v="5"/>
    <s v="Unnamed ProjectPICTURE_VERMELHOVA TimeEntity"/>
    <n v="10"/>
    <n v="917.06048186514431"/>
    <n v="31.188932790635697"/>
    <n v="0.95"/>
    <n v="22.311218461636159"/>
    <n v="852.00003268033299"/>
    <n v="968.47809802756694"/>
    <n v="738.93909107327204"/>
    <n v="1040.57425091456"/>
    <n v="3.6"/>
    <n v="22.311218461636159"/>
    <n v="10"/>
    <n v="1"/>
  </r>
  <r>
    <x v="0"/>
    <s v="2022-12-22 20:16:34"/>
    <n v="5"/>
    <x v="2"/>
    <x v="5"/>
    <x v="0"/>
    <n v="742.96617259716299"/>
    <n v="2E+20"/>
    <n v="220.31949774580301"/>
    <n v="1313.8978684393401"/>
    <n v="5"/>
    <s v="Unnamed ProjectPICTURE_VERMELHOWait TimeEntity"/>
    <n v="10"/>
    <n v="599.61431233533438"/>
    <n v="359.58620743786923"/>
    <n v="0.95"/>
    <n v="257.23247678247975"/>
    <n v="285.81528231910198"/>
    <n v="1469.04982981227"/>
    <n v="0"/>
    <n v="1980.50467332738"/>
    <n v="3.6"/>
    <n v="257.23247678247975"/>
    <n v="10"/>
    <n v="1"/>
  </r>
  <r>
    <x v="0"/>
    <s v="2022-12-22 20:16:34"/>
    <n v="6"/>
    <x v="2"/>
    <x v="0"/>
    <x v="0"/>
    <n v="0"/>
    <n v="2E+20"/>
    <n v="0"/>
    <n v="0"/>
    <n v="3"/>
    <s v="Unnamed ProjectPICTURE_VERMELHONVA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6"/>
    <x v="2"/>
    <x v="1"/>
    <x v="0"/>
    <n v="0"/>
    <n v="2E+20"/>
    <n v="0"/>
    <n v="0"/>
    <n v="3"/>
    <s v="Unnamed ProjectPICTURE_VERMELHOOther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6"/>
    <x v="2"/>
    <x v="2"/>
    <x v="0"/>
    <n v="1363.0377524217499"/>
    <n v="2E+20"/>
    <n v="1143.44692478967"/>
    <n v="1733.50732525337"/>
    <n v="3"/>
    <s v="Unnamed ProjectPICTURE_VERMELHOTotal TimeEntity"/>
    <n v="10"/>
    <n v="1596.674794200479"/>
    <n v="360.17109292347374"/>
    <n v="0.95"/>
    <n v="257.65087865380895"/>
    <n v="1294.7038939982201"/>
    <n v="2480.9683265646399"/>
    <n v="883.654167763744"/>
    <n v="2891.9175620544302"/>
    <n v="3.6"/>
    <n v="257.65087865380895"/>
    <n v="10"/>
    <n v="1"/>
  </r>
  <r>
    <x v="0"/>
    <s v="2022-12-22 20:16:34"/>
    <n v="6"/>
    <x v="2"/>
    <x v="3"/>
    <x v="0"/>
    <n v="80"/>
    <n v="2E+20"/>
    <n v="80"/>
    <n v="80"/>
    <n v="3"/>
    <s v="Unnamed ProjectPICTURE_VERMELHOTransfer TimeEntity"/>
    <n v="10"/>
    <n v="80"/>
    <n v="0"/>
    <n v="0.95"/>
    <n v="0"/>
    <n v="80"/>
    <n v="80"/>
    <n v="80"/>
    <n v="80"/>
    <n v="3.6"/>
    <n v="0"/>
    <n v="10"/>
    <n v="1"/>
  </r>
  <r>
    <x v="0"/>
    <s v="2022-12-22 20:16:34"/>
    <n v="6"/>
    <x v="2"/>
    <x v="4"/>
    <x v="0"/>
    <n v="908.84027790030802"/>
    <n v="2E+20"/>
    <n v="874.92058099503197"/>
    <n v="927.40070955629096"/>
    <n v="3"/>
    <s v="Unnamed ProjectPICTURE_VERMELHOVA TimeEntity"/>
    <n v="10"/>
    <n v="917.06048186514431"/>
    <n v="31.188932790635697"/>
    <n v="0.95"/>
    <n v="22.311218461636159"/>
    <n v="852.00003268033299"/>
    <n v="968.47809802756694"/>
    <n v="738.93909107327204"/>
    <n v="1040.57425091456"/>
    <n v="3.6"/>
    <n v="22.311218461636159"/>
    <n v="10"/>
    <n v="1"/>
  </r>
  <r>
    <x v="0"/>
    <s v="2022-12-22 20:16:34"/>
    <n v="6"/>
    <x v="2"/>
    <x v="5"/>
    <x v="0"/>
    <n v="374.19747452143798"/>
    <n v="2E+20"/>
    <n v="139.247381640067"/>
    <n v="726.10661569707497"/>
    <n v="3"/>
    <s v="Unnamed ProjectPICTURE_VERMELHOWait TimeEntity"/>
    <n v="10"/>
    <n v="599.61431233533438"/>
    <n v="359.58620743786923"/>
    <n v="0.95"/>
    <n v="257.23247678247975"/>
    <n v="285.81528231910198"/>
    <n v="1469.04982981227"/>
    <n v="0"/>
    <n v="1980.50467332738"/>
    <n v="3.6"/>
    <n v="257.23247678247975"/>
    <n v="10"/>
    <n v="1"/>
  </r>
  <r>
    <x v="0"/>
    <s v="2022-12-22 20:16:34"/>
    <n v="7"/>
    <x v="2"/>
    <x v="0"/>
    <x v="0"/>
    <n v="0"/>
    <n v="2E+20"/>
    <n v="0"/>
    <n v="0"/>
    <n v="3"/>
    <s v="Unnamed ProjectPICTURE_VERMELHONVA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7"/>
    <x v="2"/>
    <x v="1"/>
    <x v="0"/>
    <n v="0"/>
    <n v="2E+20"/>
    <n v="0"/>
    <n v="0"/>
    <n v="3"/>
    <s v="Unnamed ProjectPICTURE_VERMELHOOther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7"/>
    <x v="2"/>
    <x v="2"/>
    <x v="0"/>
    <n v="1497.3311469211601"/>
    <n v="2E+20"/>
    <n v="1023.85083386693"/>
    <n v="2248.7074000708599"/>
    <n v="3"/>
    <s v="Unnamed ProjectPICTURE_VERMELHOTotal TimeEntity"/>
    <n v="10"/>
    <n v="1596.674794200479"/>
    <n v="360.17109292347374"/>
    <n v="0.95"/>
    <n v="257.65087865380895"/>
    <n v="1294.7038939982201"/>
    <n v="2480.9683265646399"/>
    <n v="883.654167763744"/>
    <n v="2891.9175620544302"/>
    <n v="3.6"/>
    <n v="257.65087865380895"/>
    <n v="10"/>
    <n v="1"/>
  </r>
  <r>
    <x v="0"/>
    <s v="2022-12-22 20:16:34"/>
    <n v="7"/>
    <x v="2"/>
    <x v="3"/>
    <x v="0"/>
    <n v="80"/>
    <n v="2E+20"/>
    <n v="80"/>
    <n v="80"/>
    <n v="3"/>
    <s v="Unnamed ProjectPICTURE_VERMELHOTransfer TimeEntity"/>
    <n v="10"/>
    <n v="80"/>
    <n v="0"/>
    <n v="0.95"/>
    <n v="0"/>
    <n v="80"/>
    <n v="80"/>
    <n v="80"/>
    <n v="80"/>
    <n v="3.6"/>
    <n v="0"/>
    <n v="10"/>
    <n v="1"/>
  </r>
  <r>
    <x v="0"/>
    <s v="2022-12-22 20:16:34"/>
    <n v="7"/>
    <x v="2"/>
    <x v="4"/>
    <x v="0"/>
    <n v="944.50179560090203"/>
    <n v="2E+20"/>
    <n v="941.34881324816399"/>
    <n v="948.305739687607"/>
    <n v="3"/>
    <s v="Unnamed ProjectPICTURE_VERMELHOVA TimeEntity"/>
    <n v="10"/>
    <n v="917.06048186514431"/>
    <n v="31.188932790635697"/>
    <n v="0.95"/>
    <n v="22.311218461636159"/>
    <n v="852.00003268033299"/>
    <n v="968.47809802756694"/>
    <n v="738.93909107327204"/>
    <n v="1040.57425091456"/>
    <n v="3.6"/>
    <n v="22.311218461636159"/>
    <n v="10"/>
    <n v="1"/>
  </r>
  <r>
    <x v="0"/>
    <s v="2022-12-22 20:16:34"/>
    <n v="7"/>
    <x v="2"/>
    <x v="5"/>
    <x v="0"/>
    <n v="472.82935132025699"/>
    <n v="2E+20"/>
    <n v="0"/>
    <n v="1227.3585868226901"/>
    <n v="3"/>
    <s v="Unnamed ProjectPICTURE_VERMELHOWait TimeEntity"/>
    <n v="10"/>
    <n v="599.61431233533438"/>
    <n v="359.58620743786923"/>
    <n v="0.95"/>
    <n v="257.23247678247975"/>
    <n v="285.81528231910198"/>
    <n v="1469.04982981227"/>
    <n v="0"/>
    <n v="1980.50467332738"/>
    <n v="3.6"/>
    <n v="257.23247678247975"/>
    <n v="10"/>
    <n v="1"/>
  </r>
  <r>
    <x v="0"/>
    <s v="2022-12-22 20:16:34"/>
    <n v="8"/>
    <x v="2"/>
    <x v="0"/>
    <x v="0"/>
    <n v="0"/>
    <n v="2E+20"/>
    <n v="0"/>
    <n v="0"/>
    <n v="4"/>
    <s v="Unnamed ProjectPICTURE_VERMELHONVA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8"/>
    <x v="2"/>
    <x v="1"/>
    <x v="0"/>
    <n v="0"/>
    <n v="2E+20"/>
    <n v="0"/>
    <n v="0"/>
    <n v="4"/>
    <s v="Unnamed ProjectPICTURE_VERMELHOOther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8"/>
    <x v="2"/>
    <x v="2"/>
    <x v="0"/>
    <n v="1294.7038939982201"/>
    <n v="2E+20"/>
    <n v="1083.9490077229"/>
    <n v="1594.70371610965"/>
    <n v="4"/>
    <s v="Unnamed ProjectPICTURE_VERMELHOTotal TimeEntity"/>
    <n v="10"/>
    <n v="1596.674794200479"/>
    <n v="360.17109292347374"/>
    <n v="0.95"/>
    <n v="257.65087865380895"/>
    <n v="1294.7038939982201"/>
    <n v="2480.9683265646399"/>
    <n v="883.654167763744"/>
    <n v="2891.9175620544302"/>
    <n v="3.6"/>
    <n v="257.65087865380895"/>
    <n v="10"/>
    <n v="1"/>
  </r>
  <r>
    <x v="0"/>
    <s v="2022-12-22 20:16:34"/>
    <n v="8"/>
    <x v="2"/>
    <x v="3"/>
    <x v="0"/>
    <n v="80"/>
    <n v="2E+20"/>
    <n v="80"/>
    <n v="80"/>
    <n v="4"/>
    <s v="Unnamed ProjectPICTURE_VERMELHOTransfer TimeEntity"/>
    <n v="10"/>
    <n v="80"/>
    <n v="0"/>
    <n v="0.95"/>
    <n v="0"/>
    <n v="80"/>
    <n v="80"/>
    <n v="80"/>
    <n v="80"/>
    <n v="3.6"/>
    <n v="0"/>
    <n v="10"/>
    <n v="1"/>
  </r>
  <r>
    <x v="0"/>
    <s v="2022-12-22 20:16:34"/>
    <n v="8"/>
    <x v="2"/>
    <x v="4"/>
    <x v="0"/>
    <n v="928.88861167911296"/>
    <n v="2E+20"/>
    <n v="883.34122416166701"/>
    <n v="952.49486466830103"/>
    <n v="4"/>
    <s v="Unnamed ProjectPICTURE_VERMELHOVA TimeEntity"/>
    <n v="10"/>
    <n v="917.06048186514431"/>
    <n v="31.188932790635697"/>
    <n v="0.95"/>
    <n v="22.311218461636159"/>
    <n v="852.00003268033299"/>
    <n v="968.47809802756694"/>
    <n v="738.93909107327204"/>
    <n v="1040.57425091456"/>
    <n v="3.6"/>
    <n v="22.311218461636159"/>
    <n v="10"/>
    <n v="1"/>
  </r>
  <r>
    <x v="0"/>
    <s v="2022-12-22 20:16:34"/>
    <n v="8"/>
    <x v="2"/>
    <x v="5"/>
    <x v="0"/>
    <n v="285.81528231910198"/>
    <n v="2E+20"/>
    <n v="51.4541430545951"/>
    <n v="564.853134873096"/>
    <n v="4"/>
    <s v="Unnamed ProjectPICTURE_VERMELHOWait TimeEntity"/>
    <n v="10"/>
    <n v="599.61431233533438"/>
    <n v="359.58620743786923"/>
    <n v="0.95"/>
    <n v="257.23247678247975"/>
    <n v="285.81528231910198"/>
    <n v="1469.04982981227"/>
    <n v="0"/>
    <n v="1980.50467332738"/>
    <n v="3.6"/>
    <n v="257.23247678247975"/>
    <n v="10"/>
    <n v="1"/>
  </r>
  <r>
    <x v="0"/>
    <s v="2022-12-22 20:16:34"/>
    <n v="9"/>
    <x v="2"/>
    <x v="0"/>
    <x v="0"/>
    <n v="0"/>
    <n v="2E+20"/>
    <n v="0"/>
    <n v="0"/>
    <n v="3"/>
    <s v="Unnamed ProjectPICTURE_VERMELHONVA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9"/>
    <x v="2"/>
    <x v="1"/>
    <x v="0"/>
    <n v="0"/>
    <n v="2E+20"/>
    <n v="0"/>
    <n v="0"/>
    <n v="3"/>
    <s v="Unnamed ProjectPICTURE_VERMELHOOther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9"/>
    <x v="2"/>
    <x v="2"/>
    <x v="0"/>
    <n v="1734.7051025391299"/>
    <n v="2E+20"/>
    <n v="1275.7681288747499"/>
    <n v="2009.95615057088"/>
    <n v="3"/>
    <s v="Unnamed ProjectPICTURE_VERMELHOTotal TimeEntity"/>
    <n v="10"/>
    <n v="1596.674794200479"/>
    <n v="360.17109292347374"/>
    <n v="0.95"/>
    <n v="257.65087865380895"/>
    <n v="1294.7038939982201"/>
    <n v="2480.9683265646399"/>
    <n v="883.654167763744"/>
    <n v="2891.9175620544302"/>
    <n v="3.6"/>
    <n v="257.65087865380895"/>
    <n v="10"/>
    <n v="1"/>
  </r>
  <r>
    <x v="0"/>
    <s v="2022-12-22 20:16:34"/>
    <n v="9"/>
    <x v="2"/>
    <x v="3"/>
    <x v="0"/>
    <n v="80"/>
    <n v="2E+20"/>
    <n v="80"/>
    <n v="80"/>
    <n v="3"/>
    <s v="Unnamed ProjectPICTURE_VERMELHOTransfer TimeEntity"/>
    <n v="10"/>
    <n v="80"/>
    <n v="0"/>
    <n v="0.95"/>
    <n v="0"/>
    <n v="80"/>
    <n v="80"/>
    <n v="80"/>
    <n v="80"/>
    <n v="3.6"/>
    <n v="0"/>
    <n v="10"/>
    <n v="1"/>
  </r>
  <r>
    <x v="0"/>
    <s v="2022-12-22 20:16:34"/>
    <n v="9"/>
    <x v="2"/>
    <x v="4"/>
    <x v="0"/>
    <n v="892.10391737577095"/>
    <n v="2E+20"/>
    <n v="859.69844683519204"/>
    <n v="929.38059269118196"/>
    <n v="3"/>
    <s v="Unnamed ProjectPICTURE_VERMELHOVA TimeEntity"/>
    <n v="10"/>
    <n v="917.06048186514431"/>
    <n v="31.188932790635697"/>
    <n v="0.95"/>
    <n v="22.311218461636159"/>
    <n v="852.00003268033299"/>
    <n v="968.47809802756694"/>
    <n v="738.93909107327204"/>
    <n v="1040.57425091456"/>
    <n v="3.6"/>
    <n v="22.311218461636159"/>
    <n v="10"/>
    <n v="1"/>
  </r>
  <r>
    <x v="0"/>
    <s v="2022-12-22 20:16:34"/>
    <n v="9"/>
    <x v="2"/>
    <x v="5"/>
    <x v="0"/>
    <n v="762.60118516335899"/>
    <n v="2E+20"/>
    <n v="266.38753618356299"/>
    <n v="1070.25770373569"/>
    <n v="3"/>
    <s v="Unnamed ProjectPICTURE_VERMELHOWait TimeEntity"/>
    <n v="10"/>
    <n v="599.61431233533438"/>
    <n v="359.58620743786923"/>
    <n v="0.95"/>
    <n v="257.23247678247975"/>
    <n v="285.81528231910198"/>
    <n v="1469.04982981227"/>
    <n v="0"/>
    <n v="1980.50467332738"/>
    <n v="3.6"/>
    <n v="257.23247678247975"/>
    <n v="10"/>
    <n v="1"/>
  </r>
  <r>
    <x v="0"/>
    <s v="2022-12-22 20:16:34"/>
    <n v="10"/>
    <x v="2"/>
    <x v="0"/>
    <x v="0"/>
    <n v="0"/>
    <n v="2E+20"/>
    <n v="0"/>
    <n v="0"/>
    <n v="3"/>
    <s v="Unnamed ProjectPICTURE_VERMELHONVA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10"/>
    <x v="2"/>
    <x v="1"/>
    <x v="0"/>
    <n v="0"/>
    <n v="2E+20"/>
    <n v="0"/>
    <n v="0"/>
    <n v="3"/>
    <s v="Unnamed ProjectPICTURE_VERMELHOOther TimeEntity"/>
    <n v="10"/>
    <n v="0"/>
    <n v="0"/>
    <n v="0.95"/>
    <n v="0"/>
    <n v="0"/>
    <n v="0"/>
    <n v="0"/>
    <n v="0"/>
    <n v="3.6"/>
    <n v="0"/>
    <n v="10"/>
    <n v="1"/>
  </r>
  <r>
    <x v="0"/>
    <s v="2022-12-22 20:16:34"/>
    <n v="10"/>
    <x v="2"/>
    <x v="2"/>
    <x v="0"/>
    <n v="1399.2264746626199"/>
    <n v="2E+20"/>
    <n v="883.654167763744"/>
    <n v="1849.3441357667"/>
    <n v="3"/>
    <s v="Unnamed ProjectPICTURE_VERMELHOTotal TimeEntity"/>
    <n v="10"/>
    <n v="1596.674794200479"/>
    <n v="360.17109292347374"/>
    <n v="0.95"/>
    <n v="257.65087865380895"/>
    <n v="1294.7038939982201"/>
    <n v="2480.9683265646399"/>
    <n v="883.654167763744"/>
    <n v="2891.9175620544302"/>
    <n v="3.6"/>
    <n v="257.65087865380895"/>
    <n v="10"/>
    <n v="1"/>
  </r>
  <r>
    <x v="0"/>
    <s v="2022-12-22 20:16:34"/>
    <n v="10"/>
    <x v="2"/>
    <x v="3"/>
    <x v="0"/>
    <n v="80"/>
    <n v="2E+20"/>
    <n v="80"/>
    <n v="80"/>
    <n v="3"/>
    <s v="Unnamed ProjectPICTURE_VERMELHOTransfer TimeEntity"/>
    <n v="10"/>
    <n v="80"/>
    <n v="0"/>
    <n v="0.95"/>
    <n v="0"/>
    <n v="80"/>
    <n v="80"/>
    <n v="80"/>
    <n v="80"/>
    <n v="3.6"/>
    <n v="0"/>
    <n v="10"/>
    <n v="1"/>
  </r>
  <r>
    <x v="0"/>
    <s v="2022-12-22 20:16:34"/>
    <n v="10"/>
    <x v="2"/>
    <x v="4"/>
    <x v="0"/>
    <n v="852.00003268033299"/>
    <n v="2E+20"/>
    <n v="803.654167763744"/>
    <n v="890.69446768010903"/>
    <n v="3"/>
    <s v="Unnamed ProjectPICTURE_VERMELHOVA TimeEntity"/>
    <n v="10"/>
    <n v="917.06048186514431"/>
    <n v="31.188932790635697"/>
    <n v="0.95"/>
    <n v="22.311218461636159"/>
    <n v="852.00003268033299"/>
    <n v="968.47809802756694"/>
    <n v="738.93909107327204"/>
    <n v="1040.57425091456"/>
    <n v="3.6"/>
    <n v="22.311218461636159"/>
    <n v="10"/>
    <n v="1"/>
  </r>
  <r>
    <x v="0"/>
    <s v="2022-12-22 20:16:34"/>
    <n v="10"/>
    <x v="2"/>
    <x v="5"/>
    <x v="0"/>
    <n v="467.22644198228397"/>
    <n v="2E+20"/>
    <n v="0"/>
    <n v="878.64966808659301"/>
    <n v="3"/>
    <s v="Unnamed ProjectPICTURE_VERMELHOWait TimeEntity"/>
    <n v="10"/>
    <n v="599.61431233533438"/>
    <n v="359.58620743786923"/>
    <n v="0.95"/>
    <n v="257.23247678247975"/>
    <n v="285.81528231910198"/>
    <n v="1469.04982981227"/>
    <n v="0"/>
    <n v="1980.50467332738"/>
    <n v="3.6"/>
    <n v="257.23247678247975"/>
    <n v="10"/>
    <n v="1"/>
  </r>
  <r>
    <x v="0"/>
    <s v="2022-12-22 20:16:34"/>
    <n v="1"/>
    <x v="3"/>
    <x v="6"/>
    <x v="1"/>
    <n v="306.68947343817803"/>
    <n v="2E+20"/>
    <n v="0"/>
    <n v="1151.5868370686101"/>
    <n v="18"/>
    <s v="Unnamed ProjectProcesso Cortadeira.QueueWaiting TimeQueue"/>
    <n v="10"/>
    <n v="169.26697281990306"/>
    <n v="86.641050096534258"/>
    <n v="0.95"/>
    <n v="61.979273527106102"/>
    <n v="42.697032632327101"/>
    <n v="306.68947343817803"/>
    <n v="0"/>
    <n v="1151.5868370686101"/>
    <n v="15.9"/>
    <n v="61.979273527106102"/>
    <n v="10"/>
    <n v="1"/>
  </r>
  <r>
    <x v="0"/>
    <s v="2022-12-22 20:16:34"/>
    <n v="2"/>
    <x v="3"/>
    <x v="6"/>
    <x v="1"/>
    <n v="132.05029823906099"/>
    <n v="2E+20"/>
    <n v="0"/>
    <n v="361.645976922096"/>
    <n v="13"/>
    <s v="Unnamed ProjectProcesso Cortadeira.QueueWaiting TimeQueue"/>
    <n v="10"/>
    <n v="169.26697281990306"/>
    <n v="86.641050096534258"/>
    <n v="0.95"/>
    <n v="61.979273527106102"/>
    <n v="42.697032632327101"/>
    <n v="306.68947343817803"/>
    <n v="0"/>
    <n v="1151.5868370686101"/>
    <n v="15.9"/>
    <n v="61.979273527106102"/>
    <n v="10"/>
    <n v="1"/>
  </r>
  <r>
    <x v="0"/>
    <s v="2022-12-22 20:16:34"/>
    <n v="3"/>
    <x v="3"/>
    <x v="6"/>
    <x v="1"/>
    <n v="300.33153566178902"/>
    <n v="2E+20"/>
    <n v="0"/>
    <n v="954.893445484616"/>
    <n v="21"/>
    <s v="Unnamed ProjectProcesso Cortadeira.QueueWaiting TimeQueue"/>
    <n v="10"/>
    <n v="169.26697281990306"/>
    <n v="86.641050096534258"/>
    <n v="0.95"/>
    <n v="61.979273527106102"/>
    <n v="42.697032632327101"/>
    <n v="306.68947343817803"/>
    <n v="0"/>
    <n v="1151.5868370686101"/>
    <n v="15.9"/>
    <n v="61.979273527106102"/>
    <n v="10"/>
    <n v="1"/>
  </r>
  <r>
    <x v="0"/>
    <s v="2022-12-22 20:16:34"/>
    <n v="4"/>
    <x v="3"/>
    <x v="6"/>
    <x v="1"/>
    <n v="131.67213067034899"/>
    <n v="2E+20"/>
    <n v="0"/>
    <n v="355.10299277035898"/>
    <n v="15"/>
    <s v="Unnamed ProjectProcesso Cortadeira.QueueWaiting TimeQueue"/>
    <n v="10"/>
    <n v="169.26697281990306"/>
    <n v="86.641050096534258"/>
    <n v="0.95"/>
    <n v="61.979273527106102"/>
    <n v="42.697032632327101"/>
    <n v="306.68947343817803"/>
    <n v="0"/>
    <n v="1151.5868370686101"/>
    <n v="15.9"/>
    <n v="61.979273527106102"/>
    <n v="10"/>
    <n v="1"/>
  </r>
  <r>
    <x v="0"/>
    <s v="2022-12-22 20:16:34"/>
    <n v="5"/>
    <x v="3"/>
    <x v="6"/>
    <x v="1"/>
    <n v="208.76431667659401"/>
    <n v="2E+20"/>
    <n v="0"/>
    <n v="664.71697647150495"/>
    <n v="17"/>
    <s v="Unnamed ProjectProcesso Cortadeira.QueueWaiting TimeQueue"/>
    <n v="10"/>
    <n v="169.26697281990306"/>
    <n v="86.641050096534258"/>
    <n v="0.95"/>
    <n v="61.979273527106102"/>
    <n v="42.697032632327101"/>
    <n v="306.68947343817803"/>
    <n v="0"/>
    <n v="1151.5868370686101"/>
    <n v="15.9"/>
    <n v="61.979273527106102"/>
    <n v="10"/>
    <n v="1"/>
  </r>
  <r>
    <x v="0"/>
    <s v="2022-12-22 20:16:34"/>
    <n v="6"/>
    <x v="3"/>
    <x v="6"/>
    <x v="1"/>
    <n v="65.704694711736707"/>
    <n v="2E+20"/>
    <n v="0"/>
    <n v="263.78698645970098"/>
    <n v="12"/>
    <s v="Unnamed ProjectProcesso Cortadeira.QueueWaiting TimeQueue"/>
    <n v="10"/>
    <n v="169.26697281990306"/>
    <n v="86.641050096534258"/>
    <n v="0.95"/>
    <n v="61.979273527106102"/>
    <n v="42.697032632327101"/>
    <n v="306.68947343817803"/>
    <n v="0"/>
    <n v="1151.5868370686101"/>
    <n v="15.9"/>
    <n v="61.979273527106102"/>
    <n v="10"/>
    <n v="1"/>
  </r>
  <r>
    <x v="0"/>
    <s v="2022-12-22 20:16:34"/>
    <n v="7"/>
    <x v="3"/>
    <x v="6"/>
    <x v="1"/>
    <n v="42.697032632327101"/>
    <n v="2E+20"/>
    <n v="0"/>
    <n v="310.77866929243203"/>
    <n v="13"/>
    <s v="Unnamed ProjectProcesso Cortadeira.QueueWaiting TimeQueue"/>
    <n v="10"/>
    <n v="169.26697281990306"/>
    <n v="86.641050096534258"/>
    <n v="0.95"/>
    <n v="61.979273527106102"/>
    <n v="42.697032632327101"/>
    <n v="306.68947343817803"/>
    <n v="0"/>
    <n v="1151.5868370686101"/>
    <n v="15.9"/>
    <n v="61.979273527106102"/>
    <n v="10"/>
    <n v="1"/>
  </r>
  <r>
    <x v="0"/>
    <s v="2022-12-22 20:16:34"/>
    <n v="8"/>
    <x v="3"/>
    <x v="6"/>
    <x v="1"/>
    <n v="183.29151146496599"/>
    <n v="2E+20"/>
    <n v="0"/>
    <n v="756.48161635449196"/>
    <n v="14"/>
    <s v="Unnamed ProjectProcesso Cortadeira.QueueWaiting TimeQueue"/>
    <n v="10"/>
    <n v="169.26697281990306"/>
    <n v="86.641050096534258"/>
    <n v="0.95"/>
    <n v="61.979273527106102"/>
    <n v="42.697032632327101"/>
    <n v="306.68947343817803"/>
    <n v="0"/>
    <n v="1151.5868370686101"/>
    <n v="15.9"/>
    <n v="61.979273527106102"/>
    <n v="10"/>
    <n v="1"/>
  </r>
  <r>
    <x v="0"/>
    <s v="2022-12-22 20:16:34"/>
    <n v="9"/>
    <x v="3"/>
    <x v="6"/>
    <x v="1"/>
    <n v="155.670083092168"/>
    <n v="2E+20"/>
    <n v="0"/>
    <n v="407.31343599482102"/>
    <n v="21"/>
    <s v="Unnamed ProjectProcesso Cortadeira.QueueWaiting TimeQueue"/>
    <n v="10"/>
    <n v="169.26697281990306"/>
    <n v="86.641050096534258"/>
    <n v="0.95"/>
    <n v="61.979273527106102"/>
    <n v="42.697032632327101"/>
    <n v="306.68947343817803"/>
    <n v="0"/>
    <n v="1151.5868370686101"/>
    <n v="15.9"/>
    <n v="61.979273527106102"/>
    <n v="10"/>
    <n v="1"/>
  </r>
  <r>
    <x v="0"/>
    <s v="2022-12-22 20:16:34"/>
    <n v="10"/>
    <x v="3"/>
    <x v="6"/>
    <x v="1"/>
    <n v="165.798651611862"/>
    <n v="2E+20"/>
    <n v="0"/>
    <n v="612.14360310493203"/>
    <n v="15"/>
    <s v="Unnamed ProjectProcesso Cortadeira.QueueWaiting TimeQueue"/>
    <n v="10"/>
    <n v="169.26697281990306"/>
    <n v="86.641050096534258"/>
    <n v="0.95"/>
    <n v="61.979273527106102"/>
    <n v="42.697032632327101"/>
    <n v="306.68947343817803"/>
    <n v="0"/>
    <n v="1151.5868370686101"/>
    <n v="15.9"/>
    <n v="61.979273527106102"/>
    <n v="10"/>
    <n v="1"/>
  </r>
  <r>
    <x v="0"/>
    <s v="2022-12-22 20:16:34"/>
    <n v="1"/>
    <x v="4"/>
    <x v="6"/>
    <x v="1"/>
    <n v="75.227649331032396"/>
    <n v="2E+20"/>
    <n v="0"/>
    <n v="261.251391063943"/>
    <n v="15"/>
    <s v="Unnamed ProjectProcesso Lixadeira.QueueWaiting TimeQueue"/>
    <n v="10"/>
    <n v="99.685334345538806"/>
    <n v="70.382437721520873"/>
    <n v="0.95"/>
    <n v="50.348562883140168"/>
    <n v="10.558936234285"/>
    <n v="249.21381321552599"/>
    <n v="0"/>
    <n v="602.52817121718294"/>
    <n v="13.4"/>
    <n v="50.348562883140168"/>
    <n v="10"/>
    <n v="1"/>
  </r>
  <r>
    <x v="0"/>
    <s v="2022-12-22 20:16:34"/>
    <n v="2"/>
    <x v="4"/>
    <x v="6"/>
    <x v="1"/>
    <n v="50.2178431039789"/>
    <n v="2E+20"/>
    <n v="0"/>
    <n v="217.99840996137101"/>
    <n v="13"/>
    <s v="Unnamed ProjectProcesso Lixadeira.QueueWaiting TimeQueue"/>
    <n v="10"/>
    <n v="99.685334345538806"/>
    <n v="70.382437721520873"/>
    <n v="0.95"/>
    <n v="50.348562883140168"/>
    <n v="10.558936234285"/>
    <n v="249.21381321552599"/>
    <n v="0"/>
    <n v="602.52817121718294"/>
    <n v="13.4"/>
    <n v="50.348562883140168"/>
    <n v="10"/>
    <n v="1"/>
  </r>
  <r>
    <x v="0"/>
    <s v="2022-12-22 20:16:34"/>
    <n v="3"/>
    <x v="4"/>
    <x v="6"/>
    <x v="1"/>
    <n v="95.585555061652897"/>
    <n v="2E+20"/>
    <n v="0"/>
    <n v="377.094379691602"/>
    <n v="14"/>
    <s v="Unnamed ProjectProcesso Lixadeira.QueueWaiting TimeQueue"/>
    <n v="10"/>
    <n v="99.685334345538806"/>
    <n v="70.382437721520873"/>
    <n v="0.95"/>
    <n v="50.348562883140168"/>
    <n v="10.558936234285"/>
    <n v="249.21381321552599"/>
    <n v="0"/>
    <n v="602.52817121718294"/>
    <n v="13.4"/>
    <n v="50.348562883140168"/>
    <n v="10"/>
    <n v="1"/>
  </r>
  <r>
    <x v="0"/>
    <s v="2022-12-22 20:16:34"/>
    <n v="4"/>
    <x v="4"/>
    <x v="6"/>
    <x v="1"/>
    <n v="193.208883232782"/>
    <n v="2E+20"/>
    <n v="0"/>
    <n v="582.71940548949794"/>
    <n v="14"/>
    <s v="Unnamed ProjectProcesso Lixadeira.QueueWaiting TimeQueue"/>
    <n v="10"/>
    <n v="99.685334345538806"/>
    <n v="70.382437721520873"/>
    <n v="0.95"/>
    <n v="50.348562883140168"/>
    <n v="10.558936234285"/>
    <n v="249.21381321552599"/>
    <n v="0"/>
    <n v="602.52817121718294"/>
    <n v="13.4"/>
    <n v="50.348562883140168"/>
    <n v="10"/>
    <n v="1"/>
  </r>
  <r>
    <x v="0"/>
    <s v="2022-12-22 20:16:34"/>
    <n v="5"/>
    <x v="4"/>
    <x v="6"/>
    <x v="1"/>
    <n v="78.437141398770805"/>
    <n v="2E+20"/>
    <n v="0"/>
    <n v="268.22671947687701"/>
    <n v="14"/>
    <s v="Unnamed ProjectProcesso Lixadeira.QueueWaiting TimeQueue"/>
    <n v="10"/>
    <n v="99.685334345538806"/>
    <n v="70.382437721520873"/>
    <n v="0.95"/>
    <n v="50.348562883140168"/>
    <n v="10.558936234285"/>
    <n v="249.21381321552599"/>
    <n v="0"/>
    <n v="602.52817121718294"/>
    <n v="13.4"/>
    <n v="50.348562883140168"/>
    <n v="10"/>
    <n v="1"/>
  </r>
  <r>
    <x v="0"/>
    <s v="2022-12-22 20:16:34"/>
    <n v="6"/>
    <x v="4"/>
    <x v="6"/>
    <x v="1"/>
    <n v="75.862601515125803"/>
    <n v="2E+20"/>
    <n v="0"/>
    <n v="291.28102859546698"/>
    <n v="11"/>
    <s v="Unnamed ProjectProcesso Lixadeira.QueueWaiting TimeQueue"/>
    <n v="10"/>
    <n v="99.685334345538806"/>
    <n v="70.382437721520873"/>
    <n v="0.95"/>
    <n v="50.348562883140168"/>
    <n v="10.558936234285"/>
    <n v="249.21381321552599"/>
    <n v="0"/>
    <n v="602.52817121718294"/>
    <n v="13.4"/>
    <n v="50.348562883140168"/>
    <n v="10"/>
    <n v="1"/>
  </r>
  <r>
    <x v="0"/>
    <s v="2022-12-22 20:16:34"/>
    <n v="7"/>
    <x v="4"/>
    <x v="6"/>
    <x v="1"/>
    <n v="62.157244715134297"/>
    <n v="2E+20"/>
    <n v="0"/>
    <n v="205.27445199430201"/>
    <n v="12"/>
    <s v="Unnamed ProjectProcesso Lixadeira.QueueWaiting TimeQueue"/>
    <n v="10"/>
    <n v="99.685334345538806"/>
    <n v="70.382437721520873"/>
    <n v="0.95"/>
    <n v="50.348562883140168"/>
    <n v="10.558936234285"/>
    <n v="249.21381321552599"/>
    <n v="0"/>
    <n v="602.52817121718294"/>
    <n v="13.4"/>
    <n v="50.348562883140168"/>
    <n v="10"/>
    <n v="1"/>
  </r>
  <r>
    <x v="0"/>
    <s v="2022-12-22 20:16:34"/>
    <n v="8"/>
    <x v="4"/>
    <x v="6"/>
    <x v="1"/>
    <n v="10.558936234285"/>
    <n v="2E+20"/>
    <n v="0"/>
    <n v="64.066314512532699"/>
    <n v="11"/>
    <s v="Unnamed ProjectProcesso Lixadeira.QueueWaiting TimeQueue"/>
    <n v="10"/>
    <n v="99.685334345538806"/>
    <n v="70.382437721520873"/>
    <n v="0.95"/>
    <n v="50.348562883140168"/>
    <n v="10.558936234285"/>
    <n v="249.21381321552599"/>
    <n v="0"/>
    <n v="602.52817121718294"/>
    <n v="13.4"/>
    <n v="50.348562883140168"/>
    <n v="10"/>
    <n v="1"/>
  </r>
  <r>
    <x v="0"/>
    <s v="2022-12-22 20:16:34"/>
    <n v="9"/>
    <x v="4"/>
    <x v="6"/>
    <x v="1"/>
    <n v="249.21381321552599"/>
    <n v="2E+20"/>
    <n v="0"/>
    <n v="602.52817121718294"/>
    <n v="18"/>
    <s v="Unnamed ProjectProcesso Lixadeira.QueueWaiting TimeQueue"/>
    <n v="10"/>
    <n v="99.685334345538806"/>
    <n v="70.382437721520873"/>
    <n v="0.95"/>
    <n v="50.348562883140168"/>
    <n v="10.558936234285"/>
    <n v="249.21381321552599"/>
    <n v="0"/>
    <n v="602.52817121718294"/>
    <n v="13.4"/>
    <n v="50.348562883140168"/>
    <n v="10"/>
    <n v="1"/>
  </r>
  <r>
    <x v="0"/>
    <s v="2022-12-22 20:16:34"/>
    <n v="10"/>
    <x v="4"/>
    <x v="6"/>
    <x v="1"/>
    <n v="106.38367564710001"/>
    <n v="2E+20"/>
    <n v="0"/>
    <n v="330.17174164796199"/>
    <n v="12"/>
    <s v="Unnamed ProjectProcesso Lixadeira.QueueWaiting TimeQueue"/>
    <n v="10"/>
    <n v="99.685334345538806"/>
    <n v="70.382437721520873"/>
    <n v="0.95"/>
    <n v="50.348562883140168"/>
    <n v="10.558936234285"/>
    <n v="249.21381321552599"/>
    <n v="0"/>
    <n v="602.52817121718294"/>
    <n v="13.4"/>
    <n v="50.348562883140168"/>
    <n v="10"/>
    <n v="1"/>
  </r>
  <r>
    <x v="0"/>
    <s v="2022-12-22 20:16:34"/>
    <n v="1"/>
    <x v="5"/>
    <x v="6"/>
    <x v="1"/>
    <n v="193.08782651087299"/>
    <n v="2E+20"/>
    <n v="0"/>
    <n v="620.70767005798098"/>
    <n v="14"/>
    <s v="Unnamed ProjectProcesso Torno.QueueWaiting TimeQueue"/>
    <n v="10"/>
    <n v="446.62799305519582"/>
    <n v="303.316654557145"/>
    <n v="0.95"/>
    <n v="216.97966353337216"/>
    <n v="193.08782651087299"/>
    <n v="1163.9300078516401"/>
    <n v="0"/>
    <n v="2023.15343968925"/>
    <n v="15.6"/>
    <n v="216.97966353337216"/>
    <n v="10"/>
    <n v="1"/>
  </r>
  <r>
    <x v="0"/>
    <s v="2022-12-22 20:16:34"/>
    <n v="2"/>
    <x v="5"/>
    <x v="6"/>
    <x v="1"/>
    <n v="454.41836649292702"/>
    <n v="2E+20"/>
    <n v="0"/>
    <n v="1221.25586555103"/>
    <n v="17"/>
    <s v="Unnamed ProjectProcesso Torno.QueueWaiting TimeQueue"/>
    <n v="10"/>
    <n v="446.62799305519582"/>
    <n v="303.316654557145"/>
    <n v="0.95"/>
    <n v="216.97966353337216"/>
    <n v="193.08782651087299"/>
    <n v="1163.9300078516401"/>
    <n v="0"/>
    <n v="2023.15343968925"/>
    <n v="15.6"/>
    <n v="216.97966353337216"/>
    <n v="10"/>
    <n v="1"/>
  </r>
  <r>
    <x v="0"/>
    <s v="2022-12-22 20:16:34"/>
    <n v="3"/>
    <x v="5"/>
    <x v="6"/>
    <x v="1"/>
    <n v="1163.9300078516401"/>
    <n v="2E+20"/>
    <n v="0"/>
    <n v="2023.15343968925"/>
    <n v="18"/>
    <s v="Unnamed ProjectProcesso Torno.QueueWaiting TimeQueue"/>
    <n v="10"/>
    <n v="446.62799305519582"/>
    <n v="303.316654557145"/>
    <n v="0.95"/>
    <n v="216.97966353337216"/>
    <n v="193.08782651087299"/>
    <n v="1163.9300078516401"/>
    <n v="0"/>
    <n v="2023.15343968925"/>
    <n v="15.6"/>
    <n v="216.97966353337216"/>
    <n v="10"/>
    <n v="1"/>
  </r>
  <r>
    <x v="0"/>
    <s v="2022-12-22 20:16:34"/>
    <n v="4"/>
    <x v="5"/>
    <x v="6"/>
    <x v="1"/>
    <n v="268.83757784462802"/>
    <n v="2E+20"/>
    <n v="0"/>
    <n v="770.93962415184899"/>
    <n v="16"/>
    <s v="Unnamed ProjectProcesso Torno.QueueWaiting TimeQueue"/>
    <n v="10"/>
    <n v="446.62799305519582"/>
    <n v="303.316654557145"/>
    <n v="0.95"/>
    <n v="216.97966353337216"/>
    <n v="193.08782651087299"/>
    <n v="1163.9300078516401"/>
    <n v="0"/>
    <n v="2023.15343968925"/>
    <n v="15.6"/>
    <n v="216.97966353337216"/>
    <n v="10"/>
    <n v="1"/>
  </r>
  <r>
    <x v="0"/>
    <s v="2022-12-22 20:16:34"/>
    <n v="5"/>
    <x v="5"/>
    <x v="6"/>
    <x v="1"/>
    <n v="525.29231823062901"/>
    <n v="2E+20"/>
    <n v="0"/>
    <n v="1159.9479839186099"/>
    <n v="19"/>
    <s v="Unnamed ProjectProcesso Torno.QueueWaiting TimeQueue"/>
    <n v="10"/>
    <n v="446.62799305519582"/>
    <n v="303.316654557145"/>
    <n v="0.95"/>
    <n v="216.97966353337216"/>
    <n v="193.08782651087299"/>
    <n v="1163.9300078516401"/>
    <n v="0"/>
    <n v="2023.15343968925"/>
    <n v="15.6"/>
    <n v="216.97966353337216"/>
    <n v="10"/>
    <n v="1"/>
  </r>
  <r>
    <x v="0"/>
    <s v="2022-12-22 20:16:34"/>
    <n v="6"/>
    <x v="5"/>
    <x v="6"/>
    <x v="1"/>
    <n v="364.54531429711898"/>
    <n v="2E+20"/>
    <n v="0"/>
    <n v="975.36360213170497"/>
    <n v="18"/>
    <s v="Unnamed ProjectProcesso Torno.QueueWaiting TimeQueue"/>
    <n v="10"/>
    <n v="446.62799305519582"/>
    <n v="303.316654557145"/>
    <n v="0.95"/>
    <n v="216.97966353337216"/>
    <n v="193.08782651087299"/>
    <n v="1163.9300078516401"/>
    <n v="0"/>
    <n v="2023.15343968925"/>
    <n v="15.6"/>
    <n v="216.97966353337216"/>
    <n v="10"/>
    <n v="1"/>
  </r>
  <r>
    <x v="0"/>
    <s v="2022-12-22 20:16:34"/>
    <n v="7"/>
    <x v="5"/>
    <x v="6"/>
    <x v="1"/>
    <n v="240.75265726713999"/>
    <n v="2E+20"/>
    <n v="0"/>
    <n v="916.57991753025999"/>
    <n v="10"/>
    <s v="Unnamed ProjectProcesso Torno.QueueWaiting TimeQueue"/>
    <n v="10"/>
    <n v="446.62799305519582"/>
    <n v="303.316654557145"/>
    <n v="0.95"/>
    <n v="216.97966353337216"/>
    <n v="193.08782651087299"/>
    <n v="1163.9300078516401"/>
    <n v="0"/>
    <n v="2023.15343968925"/>
    <n v="15.6"/>
    <n v="216.97966353337216"/>
    <n v="10"/>
    <n v="1"/>
  </r>
  <r>
    <x v="0"/>
    <s v="2022-12-22 20:16:34"/>
    <n v="8"/>
    <x v="5"/>
    <x v="6"/>
    <x v="1"/>
    <n v="273.72060091179202"/>
    <n v="2E+20"/>
    <n v="0"/>
    <n v="556.93901624316402"/>
    <n v="13"/>
    <s v="Unnamed ProjectProcesso Torno.QueueWaiting TimeQueue"/>
    <n v="10"/>
    <n v="446.62799305519582"/>
    <n v="303.316654557145"/>
    <n v="0.95"/>
    <n v="216.97966353337216"/>
    <n v="193.08782651087299"/>
    <n v="1163.9300078516401"/>
    <n v="0"/>
    <n v="2023.15343968925"/>
    <n v="15.6"/>
    <n v="216.97966353337216"/>
    <n v="10"/>
    <n v="1"/>
  </r>
  <r>
    <x v="0"/>
    <s v="2022-12-22 20:16:34"/>
    <n v="9"/>
    <x v="5"/>
    <x v="6"/>
    <x v="1"/>
    <n v="744.24060917383997"/>
    <n v="2E+20"/>
    <n v="0"/>
    <n v="1496.9263218839001"/>
    <n v="16"/>
    <s v="Unnamed ProjectProcesso Torno.QueueWaiting TimeQueue"/>
    <n v="10"/>
    <n v="446.62799305519582"/>
    <n v="303.316654557145"/>
    <n v="0.95"/>
    <n v="216.97966353337216"/>
    <n v="193.08782651087299"/>
    <n v="1163.9300078516401"/>
    <n v="0"/>
    <n v="2023.15343968925"/>
    <n v="15.6"/>
    <n v="216.97966353337216"/>
    <n v="10"/>
    <n v="1"/>
  </r>
  <r>
    <x v="0"/>
    <s v="2022-12-22 20:16:34"/>
    <n v="10"/>
    <x v="5"/>
    <x v="6"/>
    <x v="1"/>
    <n v="237.454651971369"/>
    <n v="2E+20"/>
    <n v="0"/>
    <n v="711.74326659738006"/>
    <n v="15"/>
    <s v="Unnamed ProjectProcesso Torno.QueueWaiting TimeQueue"/>
    <n v="10"/>
    <n v="446.62799305519582"/>
    <n v="303.316654557145"/>
    <n v="0.95"/>
    <n v="216.97966353337216"/>
    <n v="193.08782651087299"/>
    <n v="1163.9300078516401"/>
    <n v="0"/>
    <n v="2023.15343968925"/>
    <n v="15.6"/>
    <n v="216.97966353337216"/>
    <n v="1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2-12-22 20:16:34"/>
    <n v="1"/>
    <x v="0"/>
    <x v="0"/>
    <x v="0"/>
    <n v="18"/>
    <n v="0"/>
    <s v="Unnamed ProjectOPERADOR_CORTE.NumberSeizedTotal Number SeizedResource"/>
    <n v="10"/>
    <n v="15.9"/>
    <n v="3.247221034122016"/>
    <n v="0.95"/>
    <n v="2.3229219919723874"/>
    <n v="12"/>
    <n v="21"/>
  </r>
  <r>
    <x v="0"/>
    <s v="2022-12-22 20:16:34"/>
    <n v="1"/>
    <x v="1"/>
    <x v="1"/>
    <x v="0"/>
    <n v="0.739383947758675"/>
    <n v="0"/>
    <s v="Unnamed ProjectOPERADOR_CORTE.ScheduledUtilizationScheduled UtilizationResource"/>
    <n v="10"/>
    <n v="0.66328097868598235"/>
    <n v="0.13309360211006072"/>
    <n v="0.95"/>
    <n v="9.5209427409943759E-2"/>
    <n v="0.50548165778050103"/>
    <n v="0.90373198712706704"/>
  </r>
  <r>
    <x v="0"/>
    <s v="2022-12-22 20:16:34"/>
    <n v="1"/>
    <x v="2"/>
    <x v="0"/>
    <x v="0"/>
    <n v="15"/>
    <n v="0"/>
    <s v="Unnamed ProjectOPERADOR_LIXADEIRA.NumberSeizedTotal Number SeizedResource"/>
    <n v="10"/>
    <n v="13.4"/>
    <n v="2.1186998109427626"/>
    <n v="0.95"/>
    <n v="1.5156265414366468"/>
    <n v="11"/>
    <n v="18"/>
  </r>
  <r>
    <x v="0"/>
    <s v="2022-12-22 20:16:34"/>
    <n v="1"/>
    <x v="3"/>
    <x v="1"/>
    <x v="0"/>
    <n v="0.72290834012351401"/>
    <n v="0"/>
    <s v="Unnamed ProjectOPERADOR_LIXADEIRA.ScheduledUtilizationScheduled UtilizationResource"/>
    <n v="10"/>
    <n v="0.61388612230942741"/>
    <n v="0.11265505672935852"/>
    <n v="0.95"/>
    <n v="8.0588572823863613E-2"/>
    <n v="0.48262851817987601"/>
    <n v="0.85064625227951796"/>
  </r>
  <r>
    <x v="0"/>
    <s v="2022-12-22 20:16:34"/>
    <n v="1"/>
    <x v="4"/>
    <x v="0"/>
    <x v="0"/>
    <n v="14"/>
    <n v="0"/>
    <s v="Unnamed ProjectOPERADOR_TORNO.NumberSeizedTotal Number SeizedResource"/>
    <n v="10"/>
    <n v="15.6"/>
    <n v="2.716206504995117"/>
    <n v="0.95"/>
    <n v="1.9430570813906995"/>
    <n v="10"/>
    <n v="19"/>
  </r>
  <r>
    <x v="0"/>
    <s v="2022-12-22 20:16:34"/>
    <n v="1"/>
    <x v="5"/>
    <x v="1"/>
    <x v="0"/>
    <n v="0.73992577614381105"/>
    <n v="0"/>
    <s v="Unnamed ProjectOPERADOR_TORNO.ScheduledUtilizationScheduled UtilizationResource"/>
    <n v="10"/>
    <n v="0.82376875514414072"/>
    <n v="0.13969928470385456"/>
    <n v="0.95"/>
    <n v="9.9934848072064403E-2"/>
    <n v="0.51379543219592505"/>
    <n v="0.98397972672724299"/>
  </r>
  <r>
    <x v="0"/>
    <s v="2022-12-22 20:16:34"/>
    <n v="1"/>
    <x v="6"/>
    <x v="2"/>
    <x v="1"/>
    <n v="35"/>
    <n v="0"/>
    <s v="Unnamed ProjectPECA.NumberInNumber InEntity"/>
    <n v="10"/>
    <n v="29.9"/>
    <n v="6.4195880795508264"/>
    <n v="0.95"/>
    <n v="4.59229666619364"/>
    <n v="20"/>
    <n v="41"/>
  </r>
  <r>
    <x v="0"/>
    <s v="2022-12-22 20:16:34"/>
    <n v="1"/>
    <x v="7"/>
    <x v="3"/>
    <x v="1"/>
    <n v="35"/>
    <n v="0"/>
    <s v="Unnamed ProjectPECA.NumberOutNumber OutEntity"/>
    <n v="10"/>
    <n v="29.9"/>
    <n v="6.4195880795508264"/>
    <n v="0.95"/>
    <n v="4.59229666619364"/>
    <n v="20"/>
    <n v="41"/>
  </r>
  <r>
    <x v="0"/>
    <s v="2022-12-22 20:16:34"/>
    <n v="1"/>
    <x v="8"/>
    <x v="2"/>
    <x v="1"/>
    <n v="12"/>
    <n v="0"/>
    <s v="Unnamed ProjectPICTURE_AZUL.NumberInNumber InEntity"/>
    <n v="10"/>
    <n v="13.3"/>
    <n v="4.2700507413066324"/>
    <n v="0.95"/>
    <n v="3.0546102866388556"/>
    <n v="7"/>
    <n v="20"/>
  </r>
  <r>
    <x v="0"/>
    <s v="2022-12-22 20:16:34"/>
    <n v="1"/>
    <x v="9"/>
    <x v="3"/>
    <x v="1"/>
    <n v="9"/>
    <n v="0"/>
    <s v="Unnamed ProjectPICTURE_AZUL.NumberOutNumber OutEntity"/>
    <n v="10"/>
    <n v="10.6"/>
    <n v="2.2705848487901892"/>
    <n v="0.95"/>
    <n v="1.6242785521744192"/>
    <n v="6"/>
    <n v="13"/>
  </r>
  <r>
    <x v="0"/>
    <s v="2022-12-22 20:16:34"/>
    <n v="1"/>
    <x v="10"/>
    <x v="2"/>
    <x v="1"/>
    <n v="16"/>
    <n v="0"/>
    <s v="Unnamed ProjectPICTURE_VERDE.NumberInNumber InEntity"/>
    <n v="10"/>
    <n v="11.1"/>
    <n v="2.726414006223806"/>
    <n v="0.95"/>
    <n v="1.9503590878873462"/>
    <n v="8"/>
    <n v="16"/>
  </r>
  <r>
    <x v="0"/>
    <s v="2022-12-22 20:16:34"/>
    <n v="1"/>
    <x v="11"/>
    <x v="3"/>
    <x v="1"/>
    <n v="11"/>
    <n v="0"/>
    <s v="Unnamed ProjectPICTURE_VERDE.NumberOutNumber OutEntity"/>
    <n v="10"/>
    <n v="8.9"/>
    <n v="2.4244128727957572"/>
    <n v="0.95"/>
    <n v="1.7343204914786237"/>
    <n v="6"/>
    <n v="14"/>
  </r>
  <r>
    <x v="0"/>
    <s v="2022-12-22 20:16:34"/>
    <n v="1"/>
    <x v="12"/>
    <x v="2"/>
    <x v="1"/>
    <n v="7"/>
    <n v="0"/>
    <s v="Unnamed ProjectPICTURE_VERMELHO.NumberInNumber InEntity"/>
    <n v="10"/>
    <n v="5.5"/>
    <n v="2.0138409955990952"/>
    <n v="0.95"/>
    <n v="1.4406150637286517"/>
    <n v="3"/>
    <n v="9"/>
  </r>
  <r>
    <x v="0"/>
    <s v="2022-12-22 20:16:34"/>
    <n v="1"/>
    <x v="13"/>
    <x v="3"/>
    <x v="1"/>
    <n v="3"/>
    <n v="0"/>
    <s v="Unnamed ProjectPICTURE_VERMELHO.NumberOutNumber OutEntity"/>
    <n v="10"/>
    <n v="3.6"/>
    <n v="0.84327404271156814"/>
    <n v="0.95"/>
    <n v="0.60324191007952155"/>
    <n v="3"/>
    <n v="5"/>
  </r>
  <r>
    <x v="0"/>
    <s v="2022-12-22 20:16:34"/>
    <n v="1"/>
    <x v="14"/>
    <x v="3"/>
    <x v="2"/>
    <n v="23"/>
    <n v="0"/>
    <s v="Unnamed ProjectSystem.NumberOutNumber OutSystem"/>
    <n v="10"/>
    <n v="23.1"/>
    <n v="3.4785054261852113"/>
    <n v="0.95"/>
    <n v="2.4883728790780211"/>
    <n v="17"/>
    <n v="28"/>
  </r>
  <r>
    <x v="0"/>
    <s v="2022-12-22 20:16:34"/>
    <n v="2"/>
    <x v="0"/>
    <x v="0"/>
    <x v="0"/>
    <n v="13"/>
    <n v="0"/>
    <s v="Unnamed ProjectOPERADOR_CORTE.NumberSeizedTotal Number SeizedResource"/>
    <n v="10"/>
    <n v="15.9"/>
    <n v="3.247221034122016"/>
    <n v="0.95"/>
    <n v="2.3229219919723874"/>
    <n v="12"/>
    <n v="21"/>
  </r>
  <r>
    <x v="0"/>
    <s v="2022-12-22 20:16:34"/>
    <n v="2"/>
    <x v="1"/>
    <x v="1"/>
    <x v="0"/>
    <n v="0.58475861044950805"/>
    <n v="0"/>
    <s v="Unnamed ProjectOPERADOR_CORTE.ScheduledUtilizationScheduled UtilizationResource"/>
    <n v="10"/>
    <n v="0.66328097868598235"/>
    <n v="0.13309360211006072"/>
    <n v="0.95"/>
    <n v="9.5209427409943759E-2"/>
    <n v="0.50548165778050103"/>
    <n v="0.90373198712706704"/>
  </r>
  <r>
    <x v="0"/>
    <s v="2022-12-22 20:16:34"/>
    <n v="2"/>
    <x v="2"/>
    <x v="0"/>
    <x v="0"/>
    <n v="13"/>
    <n v="0"/>
    <s v="Unnamed ProjectOPERADOR_LIXADEIRA.NumberSeizedTotal Number SeizedResource"/>
    <n v="10"/>
    <n v="13.4"/>
    <n v="2.1186998109427626"/>
    <n v="0.95"/>
    <n v="1.5156265414366468"/>
    <n v="11"/>
    <n v="18"/>
  </r>
  <r>
    <x v="0"/>
    <s v="2022-12-22 20:16:34"/>
    <n v="2"/>
    <x v="3"/>
    <x v="1"/>
    <x v="0"/>
    <n v="0.54490714253019401"/>
    <n v="0"/>
    <s v="Unnamed ProjectOPERADOR_LIXADEIRA.ScheduledUtilizationScheduled UtilizationResource"/>
    <n v="10"/>
    <n v="0.61388612230942741"/>
    <n v="0.11265505672935852"/>
    <n v="0.95"/>
    <n v="8.0588572823863613E-2"/>
    <n v="0.48262851817987601"/>
    <n v="0.85064625227951796"/>
  </r>
  <r>
    <x v="0"/>
    <s v="2022-12-22 20:16:34"/>
    <n v="2"/>
    <x v="4"/>
    <x v="0"/>
    <x v="0"/>
    <n v="17"/>
    <n v="0"/>
    <s v="Unnamed ProjectOPERADOR_TORNO.NumberSeizedTotal Number SeizedResource"/>
    <n v="10"/>
    <n v="15.6"/>
    <n v="2.716206504995117"/>
    <n v="0.95"/>
    <n v="1.9430570813906995"/>
    <n v="10"/>
    <n v="19"/>
  </r>
  <r>
    <x v="0"/>
    <s v="2022-12-22 20:16:34"/>
    <n v="2"/>
    <x v="5"/>
    <x v="1"/>
    <x v="0"/>
    <n v="0.92083324630187702"/>
    <n v="0"/>
    <s v="Unnamed ProjectOPERADOR_TORNO.ScheduledUtilizationScheduled UtilizationResource"/>
    <n v="10"/>
    <n v="0.82376875514414072"/>
    <n v="0.13969928470385456"/>
    <n v="0.95"/>
    <n v="9.9934848072064403E-2"/>
    <n v="0.51379543219592505"/>
    <n v="0.98397972672724299"/>
  </r>
  <r>
    <x v="0"/>
    <s v="2022-12-22 20:16:34"/>
    <n v="2"/>
    <x v="6"/>
    <x v="2"/>
    <x v="1"/>
    <n v="25"/>
    <n v="0"/>
    <s v="Unnamed ProjectPECA.NumberInNumber InEntity"/>
    <n v="10"/>
    <n v="29.9"/>
    <n v="6.4195880795508264"/>
    <n v="0.95"/>
    <n v="4.59229666619364"/>
    <n v="20"/>
    <n v="41"/>
  </r>
  <r>
    <x v="0"/>
    <s v="2022-12-22 20:16:34"/>
    <n v="2"/>
    <x v="7"/>
    <x v="3"/>
    <x v="1"/>
    <n v="25"/>
    <n v="0"/>
    <s v="Unnamed ProjectPECA.NumberOutNumber OutEntity"/>
    <n v="10"/>
    <n v="29.9"/>
    <n v="6.4195880795508264"/>
    <n v="0.95"/>
    <n v="4.59229666619364"/>
    <n v="20"/>
    <n v="41"/>
  </r>
  <r>
    <x v="0"/>
    <s v="2022-12-22 20:16:34"/>
    <n v="2"/>
    <x v="8"/>
    <x v="2"/>
    <x v="1"/>
    <n v="12"/>
    <n v="0"/>
    <s v="Unnamed ProjectPICTURE_AZUL.NumberInNumber InEntity"/>
    <n v="10"/>
    <n v="13.3"/>
    <n v="4.2700507413066324"/>
    <n v="0.95"/>
    <n v="3.0546102866388556"/>
    <n v="7"/>
    <n v="20"/>
  </r>
  <r>
    <x v="0"/>
    <s v="2022-12-22 20:16:34"/>
    <n v="2"/>
    <x v="9"/>
    <x v="3"/>
    <x v="1"/>
    <n v="11"/>
    <n v="0"/>
    <s v="Unnamed ProjectPICTURE_AZUL.NumberOutNumber OutEntity"/>
    <n v="10"/>
    <n v="10.6"/>
    <n v="2.2705848487901892"/>
    <n v="0.95"/>
    <n v="1.6242785521744192"/>
    <n v="6"/>
    <n v="13"/>
  </r>
  <r>
    <x v="0"/>
    <s v="2022-12-22 20:16:34"/>
    <n v="2"/>
    <x v="10"/>
    <x v="2"/>
    <x v="1"/>
    <n v="8"/>
    <n v="0"/>
    <s v="Unnamed ProjectPICTURE_VERDE.NumberInNumber InEntity"/>
    <n v="10"/>
    <n v="11.1"/>
    <n v="2.726414006223806"/>
    <n v="0.95"/>
    <n v="1.9503590878873462"/>
    <n v="8"/>
    <n v="16"/>
  </r>
  <r>
    <x v="0"/>
    <s v="2022-12-22 20:16:34"/>
    <n v="2"/>
    <x v="11"/>
    <x v="3"/>
    <x v="1"/>
    <n v="7"/>
    <n v="0"/>
    <s v="Unnamed ProjectPICTURE_VERDE.NumberOutNumber OutEntity"/>
    <n v="10"/>
    <n v="8.9"/>
    <n v="2.4244128727957572"/>
    <n v="0.95"/>
    <n v="1.7343204914786237"/>
    <n v="6"/>
    <n v="14"/>
  </r>
  <r>
    <x v="0"/>
    <s v="2022-12-22 20:16:34"/>
    <n v="2"/>
    <x v="12"/>
    <x v="2"/>
    <x v="1"/>
    <n v="5"/>
    <n v="0"/>
    <s v="Unnamed ProjectPICTURE_VERMELHO.NumberInNumber InEntity"/>
    <n v="10"/>
    <n v="5.5"/>
    <n v="2.0138409955990952"/>
    <n v="0.95"/>
    <n v="1.4406150637286517"/>
    <n v="3"/>
    <n v="9"/>
  </r>
  <r>
    <x v="0"/>
    <s v="2022-12-22 20:16:34"/>
    <n v="2"/>
    <x v="13"/>
    <x v="3"/>
    <x v="1"/>
    <n v="5"/>
    <n v="0"/>
    <s v="Unnamed ProjectPICTURE_VERMELHO.NumberOutNumber OutEntity"/>
    <n v="10"/>
    <n v="3.6"/>
    <n v="0.84327404271156814"/>
    <n v="0.95"/>
    <n v="0.60324191007952155"/>
    <n v="3"/>
    <n v="5"/>
  </r>
  <r>
    <x v="0"/>
    <s v="2022-12-22 20:16:34"/>
    <n v="2"/>
    <x v="14"/>
    <x v="3"/>
    <x v="2"/>
    <n v="23"/>
    <n v="0"/>
    <s v="Unnamed ProjectSystem.NumberOutNumber OutSystem"/>
    <n v="10"/>
    <n v="23.1"/>
    <n v="3.4785054261852113"/>
    <n v="0.95"/>
    <n v="2.4883728790780211"/>
    <n v="17"/>
    <n v="28"/>
  </r>
  <r>
    <x v="0"/>
    <s v="2022-12-22 20:16:34"/>
    <n v="3"/>
    <x v="0"/>
    <x v="0"/>
    <x v="0"/>
    <n v="21"/>
    <n v="0"/>
    <s v="Unnamed ProjectOPERADOR_CORTE.NumberSeizedTotal Number SeizedResource"/>
    <n v="10"/>
    <n v="15.9"/>
    <n v="3.247221034122016"/>
    <n v="0.95"/>
    <n v="2.3229219919723874"/>
    <n v="12"/>
    <n v="21"/>
  </r>
  <r>
    <x v="0"/>
    <s v="2022-12-22 20:16:34"/>
    <n v="3"/>
    <x v="1"/>
    <x v="1"/>
    <x v="0"/>
    <n v="0.90373198712706704"/>
    <n v="0"/>
    <s v="Unnamed ProjectOPERADOR_CORTE.ScheduledUtilizationScheduled UtilizationResource"/>
    <n v="10"/>
    <n v="0.66328097868598235"/>
    <n v="0.13309360211006072"/>
    <n v="0.95"/>
    <n v="9.5209427409943759E-2"/>
    <n v="0.50548165778050103"/>
    <n v="0.90373198712706704"/>
  </r>
  <r>
    <x v="0"/>
    <s v="2022-12-22 20:16:34"/>
    <n v="3"/>
    <x v="2"/>
    <x v="0"/>
    <x v="0"/>
    <n v="14"/>
    <n v="0"/>
    <s v="Unnamed ProjectOPERADOR_LIXADEIRA.NumberSeizedTotal Number SeizedResource"/>
    <n v="10"/>
    <n v="13.4"/>
    <n v="2.1186998109427626"/>
    <n v="0.95"/>
    <n v="1.5156265414366468"/>
    <n v="11"/>
    <n v="18"/>
  </r>
  <r>
    <x v="0"/>
    <s v="2022-12-22 20:16:34"/>
    <n v="3"/>
    <x v="3"/>
    <x v="1"/>
    <x v="0"/>
    <n v="0.62082413300639605"/>
    <n v="0"/>
    <s v="Unnamed ProjectOPERADOR_LIXADEIRA.ScheduledUtilizationScheduled UtilizationResource"/>
    <n v="10"/>
    <n v="0.61388612230942741"/>
    <n v="0.11265505672935852"/>
    <n v="0.95"/>
    <n v="8.0588572823863613E-2"/>
    <n v="0.48262851817987601"/>
    <n v="0.85064625227951796"/>
  </r>
  <r>
    <x v="0"/>
    <s v="2022-12-22 20:16:34"/>
    <n v="3"/>
    <x v="4"/>
    <x v="0"/>
    <x v="0"/>
    <n v="18"/>
    <n v="0"/>
    <s v="Unnamed ProjectOPERADOR_TORNO.NumberSeizedTotal Number SeizedResource"/>
    <n v="10"/>
    <n v="15.6"/>
    <n v="2.716206504995117"/>
    <n v="0.95"/>
    <n v="1.9430570813906995"/>
    <n v="10"/>
    <n v="19"/>
  </r>
  <r>
    <x v="0"/>
    <s v="2022-12-22 20:16:34"/>
    <n v="3"/>
    <x v="5"/>
    <x v="1"/>
    <x v="0"/>
    <n v="0.95388746541192004"/>
    <n v="0"/>
    <s v="Unnamed ProjectOPERADOR_TORNO.ScheduledUtilizationScheduled UtilizationResource"/>
    <n v="10"/>
    <n v="0.82376875514414072"/>
    <n v="0.13969928470385456"/>
    <n v="0.95"/>
    <n v="9.9934848072064403E-2"/>
    <n v="0.51379543219592505"/>
    <n v="0.98397972672724299"/>
  </r>
  <r>
    <x v="0"/>
    <s v="2022-12-22 20:16:34"/>
    <n v="3"/>
    <x v="6"/>
    <x v="2"/>
    <x v="1"/>
    <n v="41"/>
    <n v="0"/>
    <s v="Unnamed ProjectPECA.NumberInNumber InEntity"/>
    <n v="10"/>
    <n v="29.9"/>
    <n v="6.4195880795508264"/>
    <n v="0.95"/>
    <n v="4.59229666619364"/>
    <n v="20"/>
    <n v="41"/>
  </r>
  <r>
    <x v="0"/>
    <s v="2022-12-22 20:16:34"/>
    <n v="3"/>
    <x v="7"/>
    <x v="3"/>
    <x v="1"/>
    <n v="41"/>
    <n v="0"/>
    <s v="Unnamed ProjectPECA.NumberOutNumber OutEntity"/>
    <n v="10"/>
    <n v="29.9"/>
    <n v="6.4195880795508264"/>
    <n v="0.95"/>
    <n v="4.59229666619364"/>
    <n v="20"/>
    <n v="41"/>
  </r>
  <r>
    <x v="0"/>
    <s v="2022-12-22 20:16:34"/>
    <n v="3"/>
    <x v="8"/>
    <x v="2"/>
    <x v="1"/>
    <n v="20"/>
    <n v="0"/>
    <s v="Unnamed ProjectPICTURE_AZUL.NumberInNumber InEntity"/>
    <n v="10"/>
    <n v="13.3"/>
    <n v="4.2700507413066324"/>
    <n v="0.95"/>
    <n v="3.0546102866388556"/>
    <n v="7"/>
    <n v="20"/>
  </r>
  <r>
    <x v="0"/>
    <s v="2022-12-22 20:16:34"/>
    <n v="3"/>
    <x v="9"/>
    <x v="3"/>
    <x v="1"/>
    <n v="13"/>
    <n v="0"/>
    <s v="Unnamed ProjectPICTURE_AZUL.NumberOutNumber OutEntity"/>
    <n v="10"/>
    <n v="10.6"/>
    <n v="2.2705848487901892"/>
    <n v="0.95"/>
    <n v="1.6242785521744192"/>
    <n v="6"/>
    <n v="13"/>
  </r>
  <r>
    <x v="0"/>
    <s v="2022-12-22 20:16:34"/>
    <n v="3"/>
    <x v="10"/>
    <x v="2"/>
    <x v="1"/>
    <n v="12"/>
    <n v="0"/>
    <s v="Unnamed ProjectPICTURE_VERDE.NumberInNumber InEntity"/>
    <n v="10"/>
    <n v="11.1"/>
    <n v="2.726414006223806"/>
    <n v="0.95"/>
    <n v="1.9503590878873462"/>
    <n v="8"/>
    <n v="16"/>
  </r>
  <r>
    <x v="0"/>
    <s v="2022-12-22 20:16:34"/>
    <n v="3"/>
    <x v="11"/>
    <x v="3"/>
    <x v="1"/>
    <n v="9"/>
    <n v="0"/>
    <s v="Unnamed ProjectPICTURE_VERDE.NumberOutNumber OutEntity"/>
    <n v="10"/>
    <n v="8.9"/>
    <n v="2.4244128727957572"/>
    <n v="0.95"/>
    <n v="1.7343204914786237"/>
    <n v="6"/>
    <n v="14"/>
  </r>
  <r>
    <x v="0"/>
    <s v="2022-12-22 20:16:34"/>
    <n v="3"/>
    <x v="12"/>
    <x v="2"/>
    <x v="1"/>
    <n v="9"/>
    <n v="0"/>
    <s v="Unnamed ProjectPICTURE_VERMELHO.NumberInNumber InEntity"/>
    <n v="10"/>
    <n v="5.5"/>
    <n v="2.0138409955990952"/>
    <n v="0.95"/>
    <n v="1.4406150637286517"/>
    <n v="3"/>
    <n v="9"/>
  </r>
  <r>
    <x v="0"/>
    <s v="2022-12-22 20:16:34"/>
    <n v="3"/>
    <x v="13"/>
    <x v="3"/>
    <x v="1"/>
    <n v="4"/>
    <n v="0"/>
    <s v="Unnamed ProjectPICTURE_VERMELHO.NumberOutNumber OutEntity"/>
    <n v="10"/>
    <n v="3.6"/>
    <n v="0.84327404271156814"/>
    <n v="0.95"/>
    <n v="0.60324191007952155"/>
    <n v="3"/>
    <n v="5"/>
  </r>
  <r>
    <x v="0"/>
    <s v="2022-12-22 20:16:34"/>
    <n v="3"/>
    <x v="14"/>
    <x v="3"/>
    <x v="2"/>
    <n v="26"/>
    <n v="0"/>
    <s v="Unnamed ProjectSystem.NumberOutNumber OutSystem"/>
    <n v="10"/>
    <n v="23.1"/>
    <n v="3.4785054261852113"/>
    <n v="0.95"/>
    <n v="2.4883728790780211"/>
    <n v="17"/>
    <n v="28"/>
  </r>
  <r>
    <x v="0"/>
    <s v="2022-12-22 20:16:34"/>
    <n v="4"/>
    <x v="0"/>
    <x v="0"/>
    <x v="0"/>
    <n v="15"/>
    <n v="0"/>
    <s v="Unnamed ProjectOPERADOR_CORTE.NumberSeizedTotal Number SeizedResource"/>
    <n v="10"/>
    <n v="15.9"/>
    <n v="3.247221034122016"/>
    <n v="0.95"/>
    <n v="2.3229219919723874"/>
    <n v="12"/>
    <n v="21"/>
  </r>
  <r>
    <x v="0"/>
    <s v="2022-12-22 20:16:34"/>
    <n v="4"/>
    <x v="1"/>
    <x v="1"/>
    <x v="0"/>
    <n v="0.65378036651555205"/>
    <n v="0"/>
    <s v="Unnamed ProjectOPERADOR_CORTE.ScheduledUtilizationScheduled UtilizationResource"/>
    <n v="10"/>
    <n v="0.66328097868598235"/>
    <n v="0.13309360211006072"/>
    <n v="0.95"/>
    <n v="9.5209427409943759E-2"/>
    <n v="0.50548165778050103"/>
    <n v="0.90373198712706704"/>
  </r>
  <r>
    <x v="0"/>
    <s v="2022-12-22 20:16:34"/>
    <n v="4"/>
    <x v="2"/>
    <x v="0"/>
    <x v="0"/>
    <n v="14"/>
    <n v="0"/>
    <s v="Unnamed ProjectOPERADOR_LIXADEIRA.NumberSeizedTotal Number SeizedResource"/>
    <n v="10"/>
    <n v="13.4"/>
    <n v="2.1186998109427626"/>
    <n v="0.95"/>
    <n v="1.5156265414366468"/>
    <n v="11"/>
    <n v="18"/>
  </r>
  <r>
    <x v="0"/>
    <s v="2022-12-22 20:16:34"/>
    <n v="4"/>
    <x v="3"/>
    <x v="1"/>
    <x v="0"/>
    <n v="0.69758427425955605"/>
    <n v="0"/>
    <s v="Unnamed ProjectOPERADOR_LIXADEIRA.ScheduledUtilizationScheduled UtilizationResource"/>
    <n v="10"/>
    <n v="0.61388612230942741"/>
    <n v="0.11265505672935852"/>
    <n v="0.95"/>
    <n v="8.0588572823863613E-2"/>
    <n v="0.48262851817987601"/>
    <n v="0.85064625227951796"/>
  </r>
  <r>
    <x v="0"/>
    <s v="2022-12-22 20:16:34"/>
    <n v="4"/>
    <x v="4"/>
    <x v="0"/>
    <x v="0"/>
    <n v="16"/>
    <n v="0"/>
    <s v="Unnamed ProjectOPERADOR_TORNO.NumberSeizedTotal Number SeizedResource"/>
    <n v="10"/>
    <n v="15.6"/>
    <n v="2.716206504995117"/>
    <n v="0.95"/>
    <n v="1.9430570813906995"/>
    <n v="10"/>
    <n v="19"/>
  </r>
  <r>
    <x v="0"/>
    <s v="2022-12-22 20:16:34"/>
    <n v="4"/>
    <x v="5"/>
    <x v="1"/>
    <x v="0"/>
    <n v="0.83254347548485497"/>
    <n v="0"/>
    <s v="Unnamed ProjectOPERADOR_TORNO.ScheduledUtilizationScheduled UtilizationResource"/>
    <n v="10"/>
    <n v="0.82376875514414072"/>
    <n v="0.13969928470385456"/>
    <n v="0.95"/>
    <n v="9.9934848072064403E-2"/>
    <n v="0.51379543219592505"/>
    <n v="0.98397972672724299"/>
  </r>
  <r>
    <x v="0"/>
    <s v="2022-12-22 20:16:34"/>
    <n v="4"/>
    <x v="6"/>
    <x v="2"/>
    <x v="1"/>
    <n v="30"/>
    <n v="0"/>
    <s v="Unnamed ProjectPECA.NumberInNumber InEntity"/>
    <n v="10"/>
    <n v="29.9"/>
    <n v="6.4195880795508264"/>
    <n v="0.95"/>
    <n v="4.59229666619364"/>
    <n v="20"/>
    <n v="41"/>
  </r>
  <r>
    <x v="0"/>
    <s v="2022-12-22 20:16:34"/>
    <n v="4"/>
    <x v="7"/>
    <x v="3"/>
    <x v="1"/>
    <n v="30"/>
    <n v="0"/>
    <s v="Unnamed ProjectPECA.NumberOutNumber OutEntity"/>
    <n v="10"/>
    <n v="29.9"/>
    <n v="6.4195880795508264"/>
    <n v="0.95"/>
    <n v="4.59229666619364"/>
    <n v="20"/>
    <n v="41"/>
  </r>
  <r>
    <x v="0"/>
    <s v="2022-12-22 20:16:34"/>
    <n v="4"/>
    <x v="8"/>
    <x v="2"/>
    <x v="1"/>
    <n v="15"/>
    <n v="0"/>
    <s v="Unnamed ProjectPICTURE_AZUL.NumberInNumber InEntity"/>
    <n v="10"/>
    <n v="13.3"/>
    <n v="4.2700507413066324"/>
    <n v="0.95"/>
    <n v="3.0546102866388556"/>
    <n v="7"/>
    <n v="20"/>
  </r>
  <r>
    <x v="0"/>
    <s v="2022-12-22 20:16:34"/>
    <n v="4"/>
    <x v="9"/>
    <x v="3"/>
    <x v="1"/>
    <n v="12"/>
    <n v="0"/>
    <s v="Unnamed ProjectPICTURE_AZUL.NumberOutNumber OutEntity"/>
    <n v="10"/>
    <n v="10.6"/>
    <n v="2.2705848487901892"/>
    <n v="0.95"/>
    <n v="1.6242785521744192"/>
    <n v="6"/>
    <n v="13"/>
  </r>
  <r>
    <x v="0"/>
    <s v="2022-12-22 20:16:34"/>
    <n v="4"/>
    <x v="10"/>
    <x v="2"/>
    <x v="1"/>
    <n v="12"/>
    <n v="0"/>
    <s v="Unnamed ProjectPICTURE_VERDE.NumberInNumber InEntity"/>
    <n v="10"/>
    <n v="11.1"/>
    <n v="2.726414006223806"/>
    <n v="0.95"/>
    <n v="1.9503590878873462"/>
    <n v="8"/>
    <n v="16"/>
  </r>
  <r>
    <x v="0"/>
    <s v="2022-12-22 20:16:34"/>
    <n v="4"/>
    <x v="11"/>
    <x v="3"/>
    <x v="1"/>
    <n v="11"/>
    <n v="0"/>
    <s v="Unnamed ProjectPICTURE_VERDE.NumberOutNumber OutEntity"/>
    <n v="10"/>
    <n v="8.9"/>
    <n v="2.4244128727957572"/>
    <n v="0.95"/>
    <n v="1.7343204914786237"/>
    <n v="6"/>
    <n v="14"/>
  </r>
  <r>
    <x v="0"/>
    <s v="2022-12-22 20:16:34"/>
    <n v="4"/>
    <x v="12"/>
    <x v="2"/>
    <x v="1"/>
    <n v="3"/>
    <n v="0"/>
    <s v="Unnamed ProjectPICTURE_VERMELHO.NumberInNumber InEntity"/>
    <n v="10"/>
    <n v="5.5"/>
    <n v="2.0138409955990952"/>
    <n v="0.95"/>
    <n v="1.4406150637286517"/>
    <n v="3"/>
    <n v="9"/>
  </r>
  <r>
    <x v="0"/>
    <s v="2022-12-22 20:16:34"/>
    <n v="4"/>
    <x v="13"/>
    <x v="3"/>
    <x v="1"/>
    <n v="3"/>
    <n v="0"/>
    <s v="Unnamed ProjectPICTURE_VERMELHO.NumberOutNumber OutEntity"/>
    <n v="10"/>
    <n v="3.6"/>
    <n v="0.84327404271156814"/>
    <n v="0.95"/>
    <n v="0.60324191007952155"/>
    <n v="3"/>
    <n v="5"/>
  </r>
  <r>
    <x v="0"/>
    <s v="2022-12-22 20:16:34"/>
    <n v="4"/>
    <x v="14"/>
    <x v="3"/>
    <x v="2"/>
    <n v="26"/>
    <n v="0"/>
    <s v="Unnamed ProjectSystem.NumberOutNumber OutSystem"/>
    <n v="10"/>
    <n v="23.1"/>
    <n v="3.4785054261852113"/>
    <n v="0.95"/>
    <n v="2.4883728790780211"/>
    <n v="17"/>
    <n v="28"/>
  </r>
  <r>
    <x v="0"/>
    <s v="2022-12-22 20:16:34"/>
    <n v="5"/>
    <x v="0"/>
    <x v="0"/>
    <x v="0"/>
    <n v="17"/>
    <n v="0"/>
    <s v="Unnamed ProjectOPERADOR_CORTE.NumberSeizedTotal Number SeizedResource"/>
    <n v="10"/>
    <n v="15.9"/>
    <n v="3.247221034122016"/>
    <n v="0.95"/>
    <n v="2.3229219919723874"/>
    <n v="12"/>
    <n v="21"/>
  </r>
  <r>
    <x v="0"/>
    <s v="2022-12-22 20:16:34"/>
    <n v="5"/>
    <x v="1"/>
    <x v="1"/>
    <x v="0"/>
    <n v="0.68255617492868403"/>
    <n v="0"/>
    <s v="Unnamed ProjectOPERADOR_CORTE.ScheduledUtilizationScheduled UtilizationResource"/>
    <n v="10"/>
    <n v="0.66328097868598235"/>
    <n v="0.13309360211006072"/>
    <n v="0.95"/>
    <n v="9.5209427409943759E-2"/>
    <n v="0.50548165778050103"/>
    <n v="0.90373198712706704"/>
  </r>
  <r>
    <x v="0"/>
    <s v="2022-12-22 20:16:34"/>
    <n v="5"/>
    <x v="2"/>
    <x v="0"/>
    <x v="0"/>
    <n v="14"/>
    <n v="0"/>
    <s v="Unnamed ProjectOPERADOR_LIXADEIRA.NumberSeizedTotal Number SeizedResource"/>
    <n v="10"/>
    <n v="13.4"/>
    <n v="2.1186998109427626"/>
    <n v="0.95"/>
    <n v="1.5156265414366468"/>
    <n v="11"/>
    <n v="18"/>
  </r>
  <r>
    <x v="0"/>
    <s v="2022-12-22 20:16:34"/>
    <n v="5"/>
    <x v="3"/>
    <x v="1"/>
    <x v="0"/>
    <n v="0.58586692594735201"/>
    <n v="0"/>
    <s v="Unnamed ProjectOPERADOR_LIXADEIRA.ScheduledUtilizationScheduled UtilizationResource"/>
    <n v="10"/>
    <n v="0.61388612230942741"/>
    <n v="0.11265505672935852"/>
    <n v="0.95"/>
    <n v="8.0588572823863613E-2"/>
    <n v="0.48262851817987601"/>
    <n v="0.85064625227951796"/>
  </r>
  <r>
    <x v="0"/>
    <s v="2022-12-22 20:16:34"/>
    <n v="5"/>
    <x v="4"/>
    <x v="0"/>
    <x v="0"/>
    <n v="19"/>
    <n v="0"/>
    <s v="Unnamed ProjectOPERADOR_TORNO.NumberSeizedTotal Number SeizedResource"/>
    <n v="10"/>
    <n v="15.6"/>
    <n v="2.716206504995117"/>
    <n v="0.95"/>
    <n v="1.9430570813906995"/>
    <n v="10"/>
    <n v="19"/>
  </r>
  <r>
    <x v="0"/>
    <s v="2022-12-22 20:16:34"/>
    <n v="5"/>
    <x v="5"/>
    <x v="1"/>
    <x v="0"/>
    <n v="0.94296201788507406"/>
    <n v="0"/>
    <s v="Unnamed ProjectOPERADOR_TORNO.ScheduledUtilizationScheduled UtilizationResource"/>
    <n v="10"/>
    <n v="0.82376875514414072"/>
    <n v="0.13969928470385456"/>
    <n v="0.95"/>
    <n v="9.9934848072064403E-2"/>
    <n v="0.51379543219592505"/>
    <n v="0.98397972672724299"/>
  </r>
  <r>
    <x v="0"/>
    <s v="2022-12-22 20:16:34"/>
    <n v="5"/>
    <x v="6"/>
    <x v="2"/>
    <x v="1"/>
    <n v="33"/>
    <n v="0"/>
    <s v="Unnamed ProjectPECA.NumberInNumber InEntity"/>
    <n v="10"/>
    <n v="29.9"/>
    <n v="6.4195880795508264"/>
    <n v="0.95"/>
    <n v="4.59229666619364"/>
    <n v="20"/>
    <n v="41"/>
  </r>
  <r>
    <x v="0"/>
    <s v="2022-12-22 20:16:34"/>
    <n v="5"/>
    <x v="7"/>
    <x v="3"/>
    <x v="1"/>
    <n v="33"/>
    <n v="0"/>
    <s v="Unnamed ProjectPECA.NumberOutNumber OutEntity"/>
    <n v="10"/>
    <n v="29.9"/>
    <n v="6.4195880795508264"/>
    <n v="0.95"/>
    <n v="4.59229666619364"/>
    <n v="20"/>
    <n v="41"/>
  </r>
  <r>
    <x v="0"/>
    <s v="2022-12-22 20:16:34"/>
    <n v="5"/>
    <x v="8"/>
    <x v="2"/>
    <x v="1"/>
    <n v="16"/>
    <n v="0"/>
    <s v="Unnamed ProjectPICTURE_AZUL.NumberInNumber InEntity"/>
    <n v="10"/>
    <n v="13.3"/>
    <n v="4.2700507413066324"/>
    <n v="0.95"/>
    <n v="3.0546102866388556"/>
    <n v="7"/>
    <n v="20"/>
  </r>
  <r>
    <x v="0"/>
    <s v="2022-12-22 20:16:34"/>
    <n v="5"/>
    <x v="9"/>
    <x v="3"/>
    <x v="1"/>
    <n v="12"/>
    <n v="0"/>
    <s v="Unnamed ProjectPICTURE_AZUL.NumberOutNumber OutEntity"/>
    <n v="10"/>
    <n v="10.6"/>
    <n v="2.2705848487901892"/>
    <n v="0.95"/>
    <n v="1.6242785521744192"/>
    <n v="6"/>
    <n v="13"/>
  </r>
  <r>
    <x v="0"/>
    <s v="2022-12-22 20:16:34"/>
    <n v="5"/>
    <x v="10"/>
    <x v="2"/>
    <x v="1"/>
    <n v="10"/>
    <n v="0"/>
    <s v="Unnamed ProjectPICTURE_VERDE.NumberInNumber InEntity"/>
    <n v="10"/>
    <n v="11.1"/>
    <n v="2.726414006223806"/>
    <n v="0.95"/>
    <n v="1.9503590878873462"/>
    <n v="8"/>
    <n v="16"/>
  </r>
  <r>
    <x v="0"/>
    <s v="2022-12-22 20:16:34"/>
    <n v="5"/>
    <x v="11"/>
    <x v="3"/>
    <x v="1"/>
    <n v="8"/>
    <n v="0"/>
    <s v="Unnamed ProjectPICTURE_VERDE.NumberOutNumber OutEntity"/>
    <n v="10"/>
    <n v="8.9"/>
    <n v="2.4244128727957572"/>
    <n v="0.95"/>
    <n v="1.7343204914786237"/>
    <n v="6"/>
    <n v="14"/>
  </r>
  <r>
    <x v="0"/>
    <s v="2022-12-22 20:16:34"/>
    <n v="5"/>
    <x v="12"/>
    <x v="2"/>
    <x v="1"/>
    <n v="7"/>
    <n v="0"/>
    <s v="Unnamed ProjectPICTURE_VERMELHO.NumberInNumber InEntity"/>
    <n v="10"/>
    <n v="5.5"/>
    <n v="2.0138409955990952"/>
    <n v="0.95"/>
    <n v="1.4406150637286517"/>
    <n v="3"/>
    <n v="9"/>
  </r>
  <r>
    <x v="0"/>
    <s v="2022-12-22 20:16:34"/>
    <n v="5"/>
    <x v="13"/>
    <x v="3"/>
    <x v="1"/>
    <n v="5"/>
    <n v="0"/>
    <s v="Unnamed ProjectPICTURE_VERMELHO.NumberOutNumber OutEntity"/>
    <n v="10"/>
    <n v="3.6"/>
    <n v="0.84327404271156814"/>
    <n v="0.95"/>
    <n v="0.60324191007952155"/>
    <n v="3"/>
    <n v="5"/>
  </r>
  <r>
    <x v="0"/>
    <s v="2022-12-22 20:16:34"/>
    <n v="5"/>
    <x v="14"/>
    <x v="3"/>
    <x v="2"/>
    <n v="25"/>
    <n v="0"/>
    <s v="Unnamed ProjectSystem.NumberOutNumber OutSystem"/>
    <n v="10"/>
    <n v="23.1"/>
    <n v="3.4785054261852113"/>
    <n v="0.95"/>
    <n v="2.4883728790780211"/>
    <n v="17"/>
    <n v="28"/>
  </r>
  <r>
    <x v="0"/>
    <s v="2022-12-22 20:16:34"/>
    <n v="6"/>
    <x v="0"/>
    <x v="0"/>
    <x v="0"/>
    <n v="12"/>
    <n v="0"/>
    <s v="Unnamed ProjectOPERADOR_CORTE.NumberSeizedTotal Number SeizedResource"/>
    <n v="10"/>
    <n v="15.9"/>
    <n v="3.247221034122016"/>
    <n v="0.95"/>
    <n v="2.3229219919723874"/>
    <n v="12"/>
    <n v="21"/>
  </r>
  <r>
    <x v="0"/>
    <s v="2022-12-22 20:16:34"/>
    <n v="6"/>
    <x v="1"/>
    <x v="1"/>
    <x v="0"/>
    <n v="0.50548165778050103"/>
    <n v="0"/>
    <s v="Unnamed ProjectOPERADOR_CORTE.ScheduledUtilizationScheduled UtilizationResource"/>
    <n v="10"/>
    <n v="0.66328097868598235"/>
    <n v="0.13309360211006072"/>
    <n v="0.95"/>
    <n v="9.5209427409943759E-2"/>
    <n v="0.50548165778050103"/>
    <n v="0.90373198712706704"/>
  </r>
  <r>
    <x v="0"/>
    <s v="2022-12-22 20:16:34"/>
    <n v="6"/>
    <x v="2"/>
    <x v="0"/>
    <x v="0"/>
    <n v="11"/>
    <n v="0"/>
    <s v="Unnamed ProjectOPERADOR_LIXADEIRA.NumberSeizedTotal Number SeizedResource"/>
    <n v="10"/>
    <n v="13.4"/>
    <n v="2.1186998109427626"/>
    <n v="0.95"/>
    <n v="1.5156265414366468"/>
    <n v="11"/>
    <n v="18"/>
  </r>
  <r>
    <x v="0"/>
    <s v="2022-12-22 20:16:34"/>
    <n v="6"/>
    <x v="3"/>
    <x v="1"/>
    <x v="0"/>
    <n v="0.515187936390896"/>
    <n v="0"/>
    <s v="Unnamed ProjectOPERADOR_LIXADEIRA.ScheduledUtilizationScheduled UtilizationResource"/>
    <n v="10"/>
    <n v="0.61388612230942741"/>
    <n v="0.11265505672935852"/>
    <n v="0.95"/>
    <n v="8.0588572823863613E-2"/>
    <n v="0.48262851817987601"/>
    <n v="0.85064625227951796"/>
  </r>
  <r>
    <x v="0"/>
    <s v="2022-12-22 20:16:34"/>
    <n v="6"/>
    <x v="4"/>
    <x v="0"/>
    <x v="0"/>
    <n v="18"/>
    <n v="0"/>
    <s v="Unnamed ProjectOPERADOR_TORNO.NumberSeizedTotal Number SeizedResource"/>
    <n v="10"/>
    <n v="15.6"/>
    <n v="2.716206504995117"/>
    <n v="0.95"/>
    <n v="1.9430570813906995"/>
    <n v="10"/>
    <n v="19"/>
  </r>
  <r>
    <x v="0"/>
    <s v="2022-12-22 20:16:34"/>
    <n v="6"/>
    <x v="5"/>
    <x v="1"/>
    <x v="0"/>
    <n v="0.98397972672724299"/>
    <n v="0"/>
    <s v="Unnamed ProjectOPERADOR_TORNO.ScheduledUtilizationScheduled UtilizationResource"/>
    <n v="10"/>
    <n v="0.82376875514414072"/>
    <n v="0.13969928470385456"/>
    <n v="0.95"/>
    <n v="9.9934848072064403E-2"/>
    <n v="0.51379543219592505"/>
    <n v="0.98397972672724299"/>
  </r>
  <r>
    <x v="0"/>
    <s v="2022-12-22 20:16:34"/>
    <n v="6"/>
    <x v="6"/>
    <x v="2"/>
    <x v="1"/>
    <n v="31"/>
    <n v="0"/>
    <s v="Unnamed ProjectPECA.NumberInNumber InEntity"/>
    <n v="10"/>
    <n v="29.9"/>
    <n v="6.4195880795508264"/>
    <n v="0.95"/>
    <n v="4.59229666619364"/>
    <n v="20"/>
    <n v="41"/>
  </r>
  <r>
    <x v="0"/>
    <s v="2022-12-22 20:16:34"/>
    <n v="6"/>
    <x v="7"/>
    <x v="3"/>
    <x v="1"/>
    <n v="31"/>
    <n v="0"/>
    <s v="Unnamed ProjectPECA.NumberOutNumber OutEntity"/>
    <n v="10"/>
    <n v="29.9"/>
    <n v="6.4195880795508264"/>
    <n v="0.95"/>
    <n v="4.59229666619364"/>
    <n v="20"/>
    <n v="41"/>
  </r>
  <r>
    <x v="0"/>
    <s v="2022-12-22 20:16:34"/>
    <n v="6"/>
    <x v="8"/>
    <x v="2"/>
    <x v="1"/>
    <n v="19"/>
    <n v="0"/>
    <s v="Unnamed ProjectPICTURE_AZUL.NumberInNumber InEntity"/>
    <n v="10"/>
    <n v="13.3"/>
    <n v="4.2700507413066324"/>
    <n v="0.95"/>
    <n v="3.0546102866388556"/>
    <n v="7"/>
    <n v="20"/>
  </r>
  <r>
    <x v="0"/>
    <s v="2022-12-22 20:16:34"/>
    <n v="6"/>
    <x v="9"/>
    <x v="3"/>
    <x v="1"/>
    <n v="13"/>
    <n v="0"/>
    <s v="Unnamed ProjectPICTURE_AZUL.NumberOutNumber OutEntity"/>
    <n v="10"/>
    <n v="10.6"/>
    <n v="2.2705848487901892"/>
    <n v="0.95"/>
    <n v="1.6242785521744192"/>
    <n v="6"/>
    <n v="13"/>
  </r>
  <r>
    <x v="0"/>
    <s v="2022-12-22 20:16:34"/>
    <n v="6"/>
    <x v="10"/>
    <x v="2"/>
    <x v="1"/>
    <n v="8"/>
    <n v="0"/>
    <s v="Unnamed ProjectPICTURE_VERDE.NumberInNumber InEntity"/>
    <n v="10"/>
    <n v="11.1"/>
    <n v="2.726414006223806"/>
    <n v="0.95"/>
    <n v="1.9503590878873462"/>
    <n v="8"/>
    <n v="16"/>
  </r>
  <r>
    <x v="0"/>
    <s v="2022-12-22 20:16:34"/>
    <n v="6"/>
    <x v="11"/>
    <x v="3"/>
    <x v="1"/>
    <n v="7"/>
    <n v="0"/>
    <s v="Unnamed ProjectPICTURE_VERDE.NumberOutNumber OutEntity"/>
    <n v="10"/>
    <n v="8.9"/>
    <n v="2.4244128727957572"/>
    <n v="0.95"/>
    <n v="1.7343204914786237"/>
    <n v="6"/>
    <n v="14"/>
  </r>
  <r>
    <x v="0"/>
    <s v="2022-12-22 20:16:34"/>
    <n v="6"/>
    <x v="12"/>
    <x v="2"/>
    <x v="1"/>
    <n v="4"/>
    <n v="0"/>
    <s v="Unnamed ProjectPICTURE_VERMELHO.NumberInNumber InEntity"/>
    <n v="10"/>
    <n v="5.5"/>
    <n v="2.0138409955990952"/>
    <n v="0.95"/>
    <n v="1.4406150637286517"/>
    <n v="3"/>
    <n v="9"/>
  </r>
  <r>
    <x v="0"/>
    <s v="2022-12-22 20:16:34"/>
    <n v="6"/>
    <x v="13"/>
    <x v="3"/>
    <x v="1"/>
    <n v="3"/>
    <n v="0"/>
    <s v="Unnamed ProjectPICTURE_VERMELHO.NumberOutNumber OutEntity"/>
    <n v="10"/>
    <n v="3.6"/>
    <n v="0.84327404271156814"/>
    <n v="0.95"/>
    <n v="0.60324191007952155"/>
    <n v="3"/>
    <n v="5"/>
  </r>
  <r>
    <x v="0"/>
    <s v="2022-12-22 20:16:34"/>
    <n v="6"/>
    <x v="14"/>
    <x v="3"/>
    <x v="2"/>
    <n v="23"/>
    <n v="0"/>
    <s v="Unnamed ProjectSystem.NumberOutNumber OutSystem"/>
    <n v="10"/>
    <n v="23.1"/>
    <n v="3.4785054261852113"/>
    <n v="0.95"/>
    <n v="2.4883728790780211"/>
    <n v="17"/>
    <n v="28"/>
  </r>
  <r>
    <x v="0"/>
    <s v="2022-12-22 20:16:34"/>
    <n v="7"/>
    <x v="0"/>
    <x v="0"/>
    <x v="0"/>
    <n v="13"/>
    <n v="0"/>
    <s v="Unnamed ProjectOPERADOR_CORTE.NumberSeizedTotal Number SeizedResource"/>
    <n v="10"/>
    <n v="15.9"/>
    <n v="3.247221034122016"/>
    <n v="0.95"/>
    <n v="2.3229219919723874"/>
    <n v="12"/>
    <n v="21"/>
  </r>
  <r>
    <x v="0"/>
    <s v="2022-12-22 20:16:34"/>
    <n v="7"/>
    <x v="1"/>
    <x v="1"/>
    <x v="0"/>
    <n v="0.54115693840619805"/>
    <n v="0"/>
    <s v="Unnamed ProjectOPERADOR_CORTE.ScheduledUtilizationScheduled UtilizationResource"/>
    <n v="10"/>
    <n v="0.66328097868598235"/>
    <n v="0.13309360211006072"/>
    <n v="0.95"/>
    <n v="9.5209427409943759E-2"/>
    <n v="0.50548165778050103"/>
    <n v="0.90373198712706704"/>
  </r>
  <r>
    <x v="0"/>
    <s v="2022-12-22 20:16:34"/>
    <n v="7"/>
    <x v="2"/>
    <x v="0"/>
    <x v="0"/>
    <n v="12"/>
    <n v="0"/>
    <s v="Unnamed ProjectOPERADOR_LIXADEIRA.NumberSeizedTotal Number SeizedResource"/>
    <n v="10"/>
    <n v="13.4"/>
    <n v="2.1186998109427626"/>
    <n v="0.95"/>
    <n v="1.5156265414366468"/>
    <n v="11"/>
    <n v="18"/>
  </r>
  <r>
    <x v="0"/>
    <s v="2022-12-22 20:16:34"/>
    <n v="7"/>
    <x v="3"/>
    <x v="1"/>
    <x v="0"/>
    <n v="0.57814631873207301"/>
    <n v="0"/>
    <s v="Unnamed ProjectOPERADOR_LIXADEIRA.ScheduledUtilizationScheduled UtilizationResource"/>
    <n v="10"/>
    <n v="0.61388612230942741"/>
    <n v="0.11265505672935852"/>
    <n v="0.95"/>
    <n v="8.0588572823863613E-2"/>
    <n v="0.48262851817987601"/>
    <n v="0.85064625227951796"/>
  </r>
  <r>
    <x v="0"/>
    <s v="2022-12-22 20:16:34"/>
    <n v="7"/>
    <x v="4"/>
    <x v="0"/>
    <x v="0"/>
    <n v="10"/>
    <n v="0"/>
    <s v="Unnamed ProjectOPERADOR_TORNO.NumberSeizedTotal Number SeizedResource"/>
    <n v="10"/>
    <n v="15.6"/>
    <n v="2.716206504995117"/>
    <n v="0.95"/>
    <n v="1.9430570813906995"/>
    <n v="10"/>
    <n v="19"/>
  </r>
  <r>
    <x v="0"/>
    <s v="2022-12-22 20:16:34"/>
    <n v="7"/>
    <x v="5"/>
    <x v="1"/>
    <x v="0"/>
    <n v="0.51379543219592505"/>
    <n v="0"/>
    <s v="Unnamed ProjectOPERADOR_TORNO.ScheduledUtilizationScheduled UtilizationResource"/>
    <n v="10"/>
    <n v="0.82376875514414072"/>
    <n v="0.13969928470385456"/>
    <n v="0.95"/>
    <n v="9.9934848072064403E-2"/>
    <n v="0.51379543219592505"/>
    <n v="0.98397972672724299"/>
  </r>
  <r>
    <x v="0"/>
    <s v="2022-12-22 20:16:34"/>
    <n v="7"/>
    <x v="6"/>
    <x v="2"/>
    <x v="1"/>
    <n v="20"/>
    <n v="0"/>
    <s v="Unnamed ProjectPECA.NumberInNumber InEntity"/>
    <n v="10"/>
    <n v="29.9"/>
    <n v="6.4195880795508264"/>
    <n v="0.95"/>
    <n v="4.59229666619364"/>
    <n v="20"/>
    <n v="41"/>
  </r>
  <r>
    <x v="0"/>
    <s v="2022-12-22 20:16:34"/>
    <n v="7"/>
    <x v="7"/>
    <x v="3"/>
    <x v="1"/>
    <n v="20"/>
    <n v="0"/>
    <s v="Unnamed ProjectPECA.NumberOutNumber OutEntity"/>
    <n v="10"/>
    <n v="29.9"/>
    <n v="6.4195880795508264"/>
    <n v="0.95"/>
    <n v="4.59229666619364"/>
    <n v="20"/>
    <n v="41"/>
  </r>
  <r>
    <x v="0"/>
    <s v="2022-12-22 20:16:34"/>
    <n v="7"/>
    <x v="8"/>
    <x v="2"/>
    <x v="1"/>
    <n v="7"/>
    <n v="0"/>
    <s v="Unnamed ProjectPICTURE_AZUL.NumberInNumber InEntity"/>
    <n v="10"/>
    <n v="13.3"/>
    <n v="4.2700507413066324"/>
    <n v="0.95"/>
    <n v="3.0546102866388556"/>
    <n v="7"/>
    <n v="20"/>
  </r>
  <r>
    <x v="0"/>
    <s v="2022-12-22 20:16:34"/>
    <n v="7"/>
    <x v="9"/>
    <x v="3"/>
    <x v="1"/>
    <n v="6"/>
    <n v="0"/>
    <s v="Unnamed ProjectPICTURE_AZUL.NumberOutNumber OutEntity"/>
    <n v="10"/>
    <n v="10.6"/>
    <n v="2.2705848487901892"/>
    <n v="0.95"/>
    <n v="1.6242785521744192"/>
    <n v="6"/>
    <n v="13"/>
  </r>
  <r>
    <x v="0"/>
    <s v="2022-12-22 20:16:34"/>
    <n v="7"/>
    <x v="10"/>
    <x v="2"/>
    <x v="1"/>
    <n v="10"/>
    <n v="0"/>
    <s v="Unnamed ProjectPICTURE_VERDE.NumberInNumber InEntity"/>
    <n v="10"/>
    <n v="11.1"/>
    <n v="2.726414006223806"/>
    <n v="0.95"/>
    <n v="1.9503590878873462"/>
    <n v="8"/>
    <n v="16"/>
  </r>
  <r>
    <x v="0"/>
    <s v="2022-12-22 20:16:34"/>
    <n v="7"/>
    <x v="11"/>
    <x v="3"/>
    <x v="1"/>
    <n v="8"/>
    <n v="0"/>
    <s v="Unnamed ProjectPICTURE_VERDE.NumberOutNumber OutEntity"/>
    <n v="10"/>
    <n v="8.9"/>
    <n v="2.4244128727957572"/>
    <n v="0.95"/>
    <n v="1.7343204914786237"/>
    <n v="6"/>
    <n v="14"/>
  </r>
  <r>
    <x v="0"/>
    <s v="2022-12-22 20:16:34"/>
    <n v="7"/>
    <x v="12"/>
    <x v="2"/>
    <x v="1"/>
    <n v="3"/>
    <n v="0"/>
    <s v="Unnamed ProjectPICTURE_VERMELHO.NumberInNumber InEntity"/>
    <n v="10"/>
    <n v="5.5"/>
    <n v="2.0138409955990952"/>
    <n v="0.95"/>
    <n v="1.4406150637286517"/>
    <n v="3"/>
    <n v="9"/>
  </r>
  <r>
    <x v="0"/>
    <s v="2022-12-22 20:16:34"/>
    <n v="7"/>
    <x v="13"/>
    <x v="3"/>
    <x v="1"/>
    <n v="3"/>
    <n v="0"/>
    <s v="Unnamed ProjectPICTURE_VERMELHO.NumberOutNumber OutEntity"/>
    <n v="10"/>
    <n v="3.6"/>
    <n v="0.84327404271156814"/>
    <n v="0.95"/>
    <n v="0.60324191007952155"/>
    <n v="3"/>
    <n v="5"/>
  </r>
  <r>
    <x v="0"/>
    <s v="2022-12-22 20:16:34"/>
    <n v="7"/>
    <x v="14"/>
    <x v="3"/>
    <x v="2"/>
    <n v="17"/>
    <n v="0"/>
    <s v="Unnamed ProjectSystem.NumberOutNumber OutSystem"/>
    <n v="10"/>
    <n v="23.1"/>
    <n v="3.4785054261852113"/>
    <n v="0.95"/>
    <n v="2.4883728790780211"/>
    <n v="17"/>
    <n v="28"/>
  </r>
  <r>
    <x v="0"/>
    <s v="2022-12-22 20:16:34"/>
    <n v="8"/>
    <x v="0"/>
    <x v="0"/>
    <x v="0"/>
    <n v="14"/>
    <n v="0"/>
    <s v="Unnamed ProjectOPERADOR_CORTE.NumberSeizedTotal Number SeizedResource"/>
    <n v="10"/>
    <n v="15.9"/>
    <n v="3.247221034122016"/>
    <n v="0.95"/>
    <n v="2.3229219919723874"/>
    <n v="12"/>
    <n v="21"/>
  </r>
  <r>
    <x v="0"/>
    <s v="2022-12-22 20:16:34"/>
    <n v="8"/>
    <x v="1"/>
    <x v="1"/>
    <x v="0"/>
    <n v="0.57604223450418501"/>
    <n v="0"/>
    <s v="Unnamed ProjectOPERADOR_CORTE.ScheduledUtilizationScheduled UtilizationResource"/>
    <n v="10"/>
    <n v="0.66328097868598235"/>
    <n v="0.13309360211006072"/>
    <n v="0.95"/>
    <n v="9.5209427409943759E-2"/>
    <n v="0.50548165778050103"/>
    <n v="0.90373198712706704"/>
  </r>
  <r>
    <x v="0"/>
    <s v="2022-12-22 20:16:34"/>
    <n v="8"/>
    <x v="2"/>
    <x v="0"/>
    <x v="0"/>
    <n v="11"/>
    <n v="0"/>
    <s v="Unnamed ProjectOPERADOR_LIXADEIRA.NumberSeizedTotal Number SeizedResource"/>
    <n v="10"/>
    <n v="13.4"/>
    <n v="2.1186998109427626"/>
    <n v="0.95"/>
    <n v="1.5156265414366468"/>
    <n v="11"/>
    <n v="18"/>
  </r>
  <r>
    <x v="0"/>
    <s v="2022-12-22 20:16:34"/>
    <n v="8"/>
    <x v="3"/>
    <x v="1"/>
    <x v="0"/>
    <n v="0.48262851817987601"/>
    <n v="0"/>
    <s v="Unnamed ProjectOPERADOR_LIXADEIRA.ScheduledUtilizationScheduled UtilizationResource"/>
    <n v="10"/>
    <n v="0.61388612230942741"/>
    <n v="0.11265505672935852"/>
    <n v="0.95"/>
    <n v="8.0588572823863613E-2"/>
    <n v="0.48262851817987601"/>
    <n v="0.85064625227951796"/>
  </r>
  <r>
    <x v="0"/>
    <s v="2022-12-22 20:16:34"/>
    <n v="8"/>
    <x v="4"/>
    <x v="0"/>
    <x v="0"/>
    <n v="13"/>
    <n v="0"/>
    <s v="Unnamed ProjectOPERADOR_TORNO.NumberSeizedTotal Number SeizedResource"/>
    <n v="10"/>
    <n v="15.6"/>
    <n v="2.716206504995117"/>
    <n v="0.95"/>
    <n v="1.9430570813906995"/>
    <n v="10"/>
    <n v="19"/>
  </r>
  <r>
    <x v="0"/>
    <s v="2022-12-22 20:16:34"/>
    <n v="8"/>
    <x v="5"/>
    <x v="1"/>
    <x v="0"/>
    <n v="0.76192402816309501"/>
    <n v="0"/>
    <s v="Unnamed ProjectOPERADOR_TORNO.ScheduledUtilizationScheduled UtilizationResource"/>
    <n v="10"/>
    <n v="0.82376875514414072"/>
    <n v="0.13969928470385456"/>
    <n v="0.95"/>
    <n v="9.9934848072064403E-2"/>
    <n v="0.51379543219592505"/>
    <n v="0.98397972672724299"/>
  </r>
  <r>
    <x v="0"/>
    <s v="2022-12-22 20:16:34"/>
    <n v="8"/>
    <x v="6"/>
    <x v="2"/>
    <x v="1"/>
    <n v="23"/>
    <n v="0"/>
    <s v="Unnamed ProjectPECA.NumberInNumber InEntity"/>
    <n v="10"/>
    <n v="29.9"/>
    <n v="6.4195880795508264"/>
    <n v="0.95"/>
    <n v="4.59229666619364"/>
    <n v="20"/>
    <n v="41"/>
  </r>
  <r>
    <x v="0"/>
    <s v="2022-12-22 20:16:34"/>
    <n v="8"/>
    <x v="7"/>
    <x v="3"/>
    <x v="1"/>
    <n v="23"/>
    <n v="0"/>
    <s v="Unnamed ProjectPECA.NumberOutNumber OutEntity"/>
    <n v="10"/>
    <n v="29.9"/>
    <n v="6.4195880795508264"/>
    <n v="0.95"/>
    <n v="4.59229666619364"/>
    <n v="20"/>
    <n v="41"/>
  </r>
  <r>
    <x v="0"/>
    <s v="2022-12-22 20:16:34"/>
    <n v="8"/>
    <x v="8"/>
    <x v="2"/>
    <x v="1"/>
    <n v="8"/>
    <n v="0"/>
    <s v="Unnamed ProjectPICTURE_AZUL.NumberInNumber InEntity"/>
    <n v="10"/>
    <n v="13.3"/>
    <n v="4.2700507413066324"/>
    <n v="0.95"/>
    <n v="3.0546102866388556"/>
    <n v="7"/>
    <n v="20"/>
  </r>
  <r>
    <x v="0"/>
    <s v="2022-12-22 20:16:34"/>
    <n v="8"/>
    <x v="9"/>
    <x v="3"/>
    <x v="1"/>
    <n v="8"/>
    <n v="0"/>
    <s v="Unnamed ProjectPICTURE_AZUL.NumberOutNumber OutEntity"/>
    <n v="10"/>
    <n v="10.6"/>
    <n v="2.2705848487901892"/>
    <n v="0.95"/>
    <n v="1.6242785521744192"/>
    <n v="6"/>
    <n v="13"/>
  </r>
  <r>
    <x v="0"/>
    <s v="2022-12-22 20:16:34"/>
    <n v="8"/>
    <x v="10"/>
    <x v="2"/>
    <x v="1"/>
    <n v="9"/>
    <n v="0"/>
    <s v="Unnamed ProjectPICTURE_VERDE.NumberInNumber InEntity"/>
    <n v="10"/>
    <n v="11.1"/>
    <n v="2.726414006223806"/>
    <n v="0.95"/>
    <n v="1.9503590878873462"/>
    <n v="8"/>
    <n v="16"/>
  </r>
  <r>
    <x v="0"/>
    <s v="2022-12-22 20:16:34"/>
    <n v="8"/>
    <x v="11"/>
    <x v="3"/>
    <x v="1"/>
    <n v="6"/>
    <n v="0"/>
    <s v="Unnamed ProjectPICTURE_VERDE.NumberOutNumber OutEntity"/>
    <n v="10"/>
    <n v="8.9"/>
    <n v="2.4244128727957572"/>
    <n v="0.95"/>
    <n v="1.7343204914786237"/>
    <n v="6"/>
    <n v="14"/>
  </r>
  <r>
    <x v="0"/>
    <s v="2022-12-22 20:16:34"/>
    <n v="8"/>
    <x v="12"/>
    <x v="2"/>
    <x v="1"/>
    <n v="6"/>
    <n v="0"/>
    <s v="Unnamed ProjectPICTURE_VERMELHO.NumberInNumber InEntity"/>
    <n v="10"/>
    <n v="5.5"/>
    <n v="2.0138409955990952"/>
    <n v="0.95"/>
    <n v="1.4406150637286517"/>
    <n v="3"/>
    <n v="9"/>
  </r>
  <r>
    <x v="0"/>
    <s v="2022-12-22 20:16:34"/>
    <n v="8"/>
    <x v="13"/>
    <x v="3"/>
    <x v="1"/>
    <n v="4"/>
    <n v="0"/>
    <s v="Unnamed ProjectPICTURE_VERMELHO.NumberOutNumber OutEntity"/>
    <n v="10"/>
    <n v="3.6"/>
    <n v="0.84327404271156814"/>
    <n v="0.95"/>
    <n v="0.60324191007952155"/>
    <n v="3"/>
    <n v="5"/>
  </r>
  <r>
    <x v="0"/>
    <s v="2022-12-22 20:16:34"/>
    <n v="8"/>
    <x v="14"/>
    <x v="3"/>
    <x v="2"/>
    <n v="18"/>
    <n v="0"/>
    <s v="Unnamed ProjectSystem.NumberOutNumber OutSystem"/>
    <n v="10"/>
    <n v="23.1"/>
    <n v="3.4785054261852113"/>
    <n v="0.95"/>
    <n v="2.4883728790780211"/>
    <n v="17"/>
    <n v="28"/>
  </r>
  <r>
    <x v="0"/>
    <s v="2022-12-22 20:16:34"/>
    <n v="9"/>
    <x v="0"/>
    <x v="0"/>
    <x v="0"/>
    <n v="21"/>
    <n v="0"/>
    <s v="Unnamed ProjectOPERADOR_CORTE.NumberSeizedTotal Number SeizedResource"/>
    <n v="10"/>
    <n v="15.9"/>
    <n v="3.247221034122016"/>
    <n v="0.95"/>
    <n v="2.3229219919723874"/>
    <n v="12"/>
    <n v="21"/>
  </r>
  <r>
    <x v="0"/>
    <s v="2022-12-22 20:16:34"/>
    <n v="9"/>
    <x v="1"/>
    <x v="1"/>
    <x v="0"/>
    <n v="0.85456598914228199"/>
    <n v="0"/>
    <s v="Unnamed ProjectOPERADOR_CORTE.ScheduledUtilizationScheduled UtilizationResource"/>
    <n v="10"/>
    <n v="0.66328097868598235"/>
    <n v="0.13309360211006072"/>
    <n v="0.95"/>
    <n v="9.5209427409943759E-2"/>
    <n v="0.50548165778050103"/>
    <n v="0.90373198712706704"/>
  </r>
  <r>
    <x v="0"/>
    <s v="2022-12-22 20:16:34"/>
    <n v="9"/>
    <x v="2"/>
    <x v="0"/>
    <x v="0"/>
    <n v="18"/>
    <n v="0"/>
    <s v="Unnamed ProjectOPERADOR_LIXADEIRA.NumberSeizedTotal Number SeizedResource"/>
    <n v="10"/>
    <n v="13.4"/>
    <n v="2.1186998109427626"/>
    <n v="0.95"/>
    <n v="1.5156265414366468"/>
    <n v="11"/>
    <n v="18"/>
  </r>
  <r>
    <x v="0"/>
    <s v="2022-12-22 20:16:34"/>
    <n v="9"/>
    <x v="3"/>
    <x v="1"/>
    <x v="0"/>
    <n v="0.85064625227951796"/>
    <n v="0"/>
    <s v="Unnamed ProjectOPERADOR_LIXADEIRA.ScheduledUtilizationScheduled UtilizationResource"/>
    <n v="10"/>
    <n v="0.61388612230942741"/>
    <n v="0.11265505672935852"/>
    <n v="0.95"/>
    <n v="8.0588572823863613E-2"/>
    <n v="0.48262851817987601"/>
    <n v="0.85064625227951796"/>
  </r>
  <r>
    <x v="0"/>
    <s v="2022-12-22 20:16:34"/>
    <n v="9"/>
    <x v="4"/>
    <x v="0"/>
    <x v="0"/>
    <n v="16"/>
    <n v="0"/>
    <s v="Unnamed ProjectOPERADOR_TORNO.NumberSeizedTotal Number SeizedResource"/>
    <n v="10"/>
    <n v="15.6"/>
    <n v="2.716206504995117"/>
    <n v="0.95"/>
    <n v="1.9430570813906995"/>
    <n v="10"/>
    <n v="19"/>
  </r>
  <r>
    <x v="0"/>
    <s v="2022-12-22 20:16:34"/>
    <n v="9"/>
    <x v="5"/>
    <x v="1"/>
    <x v="0"/>
    <n v="0.81151142158665801"/>
    <n v="0"/>
    <s v="Unnamed ProjectOPERADOR_TORNO.ScheduledUtilizationScheduled UtilizationResource"/>
    <n v="10"/>
    <n v="0.82376875514414072"/>
    <n v="0.13969928470385456"/>
    <n v="0.95"/>
    <n v="9.9934848072064403E-2"/>
    <n v="0.51379543219592505"/>
    <n v="0.98397972672724299"/>
  </r>
  <r>
    <x v="0"/>
    <s v="2022-12-22 20:16:34"/>
    <n v="9"/>
    <x v="6"/>
    <x v="2"/>
    <x v="1"/>
    <n v="35"/>
    <n v="0"/>
    <s v="Unnamed ProjectPECA.NumberInNumber InEntity"/>
    <n v="10"/>
    <n v="29.9"/>
    <n v="6.4195880795508264"/>
    <n v="0.95"/>
    <n v="4.59229666619364"/>
    <n v="20"/>
    <n v="41"/>
  </r>
  <r>
    <x v="0"/>
    <s v="2022-12-22 20:16:34"/>
    <n v="9"/>
    <x v="7"/>
    <x v="3"/>
    <x v="1"/>
    <n v="35"/>
    <n v="0"/>
    <s v="Unnamed ProjectPECA.NumberOutNumber OutEntity"/>
    <n v="10"/>
    <n v="29.9"/>
    <n v="6.4195880795508264"/>
    <n v="0.95"/>
    <n v="4.59229666619364"/>
    <n v="20"/>
    <n v="41"/>
  </r>
  <r>
    <x v="0"/>
    <s v="2022-12-22 20:16:34"/>
    <n v="9"/>
    <x v="8"/>
    <x v="2"/>
    <x v="1"/>
    <n v="13"/>
    <n v="0"/>
    <s v="Unnamed ProjectPICTURE_AZUL.NumberInNumber InEntity"/>
    <n v="10"/>
    <n v="13.3"/>
    <n v="4.2700507413066324"/>
    <n v="0.95"/>
    <n v="3.0546102866388556"/>
    <n v="7"/>
    <n v="20"/>
  </r>
  <r>
    <x v="0"/>
    <s v="2022-12-22 20:16:34"/>
    <n v="9"/>
    <x v="9"/>
    <x v="3"/>
    <x v="1"/>
    <n v="11"/>
    <n v="0"/>
    <s v="Unnamed ProjectPICTURE_AZUL.NumberOutNumber OutEntity"/>
    <n v="10"/>
    <n v="10.6"/>
    <n v="2.2705848487901892"/>
    <n v="0.95"/>
    <n v="1.6242785521744192"/>
    <n v="6"/>
    <n v="13"/>
  </r>
  <r>
    <x v="0"/>
    <s v="2022-12-22 20:16:34"/>
    <n v="9"/>
    <x v="10"/>
    <x v="2"/>
    <x v="1"/>
    <n v="15"/>
    <n v="0"/>
    <s v="Unnamed ProjectPICTURE_VERDE.NumberInNumber InEntity"/>
    <n v="10"/>
    <n v="11.1"/>
    <n v="2.726414006223806"/>
    <n v="0.95"/>
    <n v="1.9503590878873462"/>
    <n v="8"/>
    <n v="16"/>
  </r>
  <r>
    <x v="0"/>
    <s v="2022-12-22 20:16:34"/>
    <n v="9"/>
    <x v="11"/>
    <x v="3"/>
    <x v="1"/>
    <n v="14"/>
    <n v="0"/>
    <s v="Unnamed ProjectPICTURE_VERDE.NumberOutNumber OutEntity"/>
    <n v="10"/>
    <n v="8.9"/>
    <n v="2.4244128727957572"/>
    <n v="0.95"/>
    <n v="1.7343204914786237"/>
    <n v="6"/>
    <n v="14"/>
  </r>
  <r>
    <x v="0"/>
    <s v="2022-12-22 20:16:34"/>
    <n v="9"/>
    <x v="12"/>
    <x v="2"/>
    <x v="1"/>
    <n v="7"/>
    <n v="0"/>
    <s v="Unnamed ProjectPICTURE_VERMELHO.NumberInNumber InEntity"/>
    <n v="10"/>
    <n v="5.5"/>
    <n v="2.0138409955990952"/>
    <n v="0.95"/>
    <n v="1.4406150637286517"/>
    <n v="3"/>
    <n v="9"/>
  </r>
  <r>
    <x v="0"/>
    <s v="2022-12-22 20:16:34"/>
    <n v="9"/>
    <x v="13"/>
    <x v="3"/>
    <x v="1"/>
    <n v="3"/>
    <n v="0"/>
    <s v="Unnamed ProjectPICTURE_VERMELHO.NumberOutNumber OutEntity"/>
    <n v="10"/>
    <n v="3.6"/>
    <n v="0.84327404271156814"/>
    <n v="0.95"/>
    <n v="0.60324191007952155"/>
    <n v="3"/>
    <n v="5"/>
  </r>
  <r>
    <x v="0"/>
    <s v="2022-12-22 20:16:34"/>
    <n v="9"/>
    <x v="14"/>
    <x v="3"/>
    <x v="2"/>
    <n v="28"/>
    <n v="0"/>
    <s v="Unnamed ProjectSystem.NumberOutNumber OutSystem"/>
    <n v="10"/>
    <n v="23.1"/>
    <n v="3.4785054261852113"/>
    <n v="0.95"/>
    <n v="2.4883728790780211"/>
    <n v="17"/>
    <n v="28"/>
  </r>
  <r>
    <x v="0"/>
    <s v="2022-12-22 20:16:34"/>
    <n v="10"/>
    <x v="0"/>
    <x v="0"/>
    <x v="0"/>
    <n v="15"/>
    <n v="0"/>
    <s v="Unnamed ProjectOPERADOR_CORTE.NumberSeizedTotal Number SeizedResource"/>
    <n v="10"/>
    <n v="15.9"/>
    <n v="3.247221034122016"/>
    <n v="0.95"/>
    <n v="2.3229219919723874"/>
    <n v="12"/>
    <n v="21"/>
  </r>
  <r>
    <x v="0"/>
    <s v="2022-12-22 20:16:34"/>
    <n v="10"/>
    <x v="1"/>
    <x v="1"/>
    <x v="0"/>
    <n v="0.591351880247172"/>
    <n v="0"/>
    <s v="Unnamed ProjectOPERADOR_CORTE.ScheduledUtilizationScheduled UtilizationResource"/>
    <n v="10"/>
    <n v="0.66328097868598235"/>
    <n v="0.13309360211006072"/>
    <n v="0.95"/>
    <n v="9.5209427409943759E-2"/>
    <n v="0.50548165778050103"/>
    <n v="0.90373198712706704"/>
  </r>
  <r>
    <x v="0"/>
    <s v="2022-12-22 20:16:34"/>
    <n v="10"/>
    <x v="2"/>
    <x v="0"/>
    <x v="0"/>
    <n v="12"/>
    <n v="0"/>
    <s v="Unnamed ProjectOPERADOR_LIXADEIRA.NumberSeizedTotal Number SeizedResource"/>
    <n v="10"/>
    <n v="13.4"/>
    <n v="2.1186998109427626"/>
    <n v="0.95"/>
    <n v="1.5156265414366468"/>
    <n v="11"/>
    <n v="18"/>
  </r>
  <r>
    <x v="0"/>
    <s v="2022-12-22 20:16:34"/>
    <n v="10"/>
    <x v="3"/>
    <x v="1"/>
    <x v="0"/>
    <n v="0.54016138164490002"/>
    <n v="0"/>
    <s v="Unnamed ProjectOPERADOR_LIXADEIRA.ScheduledUtilizationScheduled UtilizationResource"/>
    <n v="10"/>
    <n v="0.61388612230942741"/>
    <n v="0.11265505672935852"/>
    <n v="0.95"/>
    <n v="8.0588572823863613E-2"/>
    <n v="0.48262851817987601"/>
    <n v="0.85064625227951796"/>
  </r>
  <r>
    <x v="0"/>
    <s v="2022-12-22 20:16:34"/>
    <n v="10"/>
    <x v="4"/>
    <x v="0"/>
    <x v="0"/>
    <n v="15"/>
    <n v="0"/>
    <s v="Unnamed ProjectOPERADOR_TORNO.NumberSeizedTotal Number SeizedResource"/>
    <n v="10"/>
    <n v="15.6"/>
    <n v="2.716206504995117"/>
    <n v="0.95"/>
    <n v="1.9430570813906995"/>
    <n v="10"/>
    <n v="19"/>
  </r>
  <r>
    <x v="0"/>
    <s v="2022-12-22 20:16:34"/>
    <n v="10"/>
    <x v="5"/>
    <x v="1"/>
    <x v="0"/>
    <n v="0.77632496154094799"/>
    <n v="0"/>
    <s v="Unnamed ProjectOPERADOR_TORNO.ScheduledUtilizationScheduled UtilizationResource"/>
    <n v="10"/>
    <n v="0.82376875514414072"/>
    <n v="0.13969928470385456"/>
    <n v="0.95"/>
    <n v="9.9934848072064403E-2"/>
    <n v="0.51379543219592505"/>
    <n v="0.98397972672724299"/>
  </r>
  <r>
    <x v="0"/>
    <s v="2022-12-22 20:16:34"/>
    <n v="10"/>
    <x v="6"/>
    <x v="2"/>
    <x v="1"/>
    <n v="26"/>
    <n v="0"/>
    <s v="Unnamed ProjectPECA.NumberInNumber InEntity"/>
    <n v="10"/>
    <n v="29.9"/>
    <n v="6.4195880795508264"/>
    <n v="0.95"/>
    <n v="4.59229666619364"/>
    <n v="20"/>
    <n v="41"/>
  </r>
  <r>
    <x v="0"/>
    <s v="2022-12-22 20:16:34"/>
    <n v="10"/>
    <x v="7"/>
    <x v="3"/>
    <x v="1"/>
    <n v="26"/>
    <n v="0"/>
    <s v="Unnamed ProjectPECA.NumberOutNumber OutEntity"/>
    <n v="10"/>
    <n v="29.9"/>
    <n v="6.4195880795508264"/>
    <n v="0.95"/>
    <n v="4.59229666619364"/>
    <n v="20"/>
    <n v="41"/>
  </r>
  <r>
    <x v="0"/>
    <s v="2022-12-22 20:16:34"/>
    <n v="10"/>
    <x v="8"/>
    <x v="2"/>
    <x v="1"/>
    <n v="11"/>
    <n v="0"/>
    <s v="Unnamed ProjectPICTURE_AZUL.NumberInNumber InEntity"/>
    <n v="10"/>
    <n v="13.3"/>
    <n v="4.2700507413066324"/>
    <n v="0.95"/>
    <n v="3.0546102866388556"/>
    <n v="7"/>
    <n v="20"/>
  </r>
  <r>
    <x v="0"/>
    <s v="2022-12-22 20:16:34"/>
    <n v="10"/>
    <x v="9"/>
    <x v="3"/>
    <x v="1"/>
    <n v="11"/>
    <n v="0"/>
    <s v="Unnamed ProjectPICTURE_AZUL.NumberOutNumber OutEntity"/>
    <n v="10"/>
    <n v="10.6"/>
    <n v="2.2705848487901892"/>
    <n v="0.95"/>
    <n v="1.6242785521744192"/>
    <n v="6"/>
    <n v="13"/>
  </r>
  <r>
    <x v="0"/>
    <s v="2022-12-22 20:16:34"/>
    <n v="10"/>
    <x v="10"/>
    <x v="2"/>
    <x v="1"/>
    <n v="11"/>
    <n v="0"/>
    <s v="Unnamed ProjectPICTURE_VERDE.NumberInNumber InEntity"/>
    <n v="10"/>
    <n v="11.1"/>
    <n v="2.726414006223806"/>
    <n v="0.95"/>
    <n v="1.9503590878873462"/>
    <n v="8"/>
    <n v="16"/>
  </r>
  <r>
    <x v="0"/>
    <s v="2022-12-22 20:16:34"/>
    <n v="10"/>
    <x v="11"/>
    <x v="3"/>
    <x v="1"/>
    <n v="8"/>
    <n v="0"/>
    <s v="Unnamed ProjectPICTURE_VERDE.NumberOutNumber OutEntity"/>
    <n v="10"/>
    <n v="8.9"/>
    <n v="2.4244128727957572"/>
    <n v="0.95"/>
    <n v="1.7343204914786237"/>
    <n v="6"/>
    <n v="14"/>
  </r>
  <r>
    <x v="0"/>
    <s v="2022-12-22 20:16:34"/>
    <n v="10"/>
    <x v="12"/>
    <x v="2"/>
    <x v="1"/>
    <n v="4"/>
    <n v="0"/>
    <s v="Unnamed ProjectPICTURE_VERMELHO.NumberInNumber InEntity"/>
    <n v="10"/>
    <n v="5.5"/>
    <n v="2.0138409955990952"/>
    <n v="0.95"/>
    <n v="1.4406150637286517"/>
    <n v="3"/>
    <n v="9"/>
  </r>
  <r>
    <x v="0"/>
    <s v="2022-12-22 20:16:34"/>
    <n v="10"/>
    <x v="13"/>
    <x v="3"/>
    <x v="1"/>
    <n v="3"/>
    <n v="0"/>
    <s v="Unnamed ProjectPICTURE_VERMELHO.NumberOutNumber OutEntity"/>
    <n v="10"/>
    <n v="3.6"/>
    <n v="0.84327404271156814"/>
    <n v="0.95"/>
    <n v="0.60324191007952155"/>
    <n v="3"/>
    <n v="5"/>
  </r>
  <r>
    <x v="0"/>
    <s v="2022-12-22 20:16:34"/>
    <n v="10"/>
    <x v="14"/>
    <x v="3"/>
    <x v="2"/>
    <n v="22"/>
    <n v="0"/>
    <s v="Unnamed ProjectSystem.NumberOutNumber OutSystem"/>
    <n v="10"/>
    <n v="23.1"/>
    <n v="3.4785054261852113"/>
    <n v="0.95"/>
    <n v="2.4883728790780211"/>
    <n v="17"/>
    <n v="2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8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3">
        <item m="1" x="25"/>
        <item m="1" x="16"/>
        <item m="1" x="32"/>
        <item m="1" x="41"/>
        <item m="1" x="53"/>
        <item x="3"/>
        <item m="1" x="17"/>
        <item m="1" x="117"/>
        <item m="1" x="95"/>
        <item m="1" x="58"/>
        <item m="1" x="46"/>
        <item m="1" x="50"/>
        <item m="1" x="131"/>
        <item m="1" x="35"/>
        <item m="1" x="116"/>
        <item m="1" x="39"/>
        <item m="1" x="89"/>
        <item m="1" x="103"/>
        <item m="1" x="14"/>
        <item m="1" x="40"/>
        <item m="1" x="126"/>
        <item m="1" x="29"/>
        <item m="1" x="118"/>
        <item m="1" x="18"/>
        <item m="1" x="45"/>
        <item m="1" x="70"/>
        <item m="1" x="15"/>
        <item m="1" x="21"/>
        <item m="1" x="90"/>
        <item m="1" x="71"/>
        <item m="1" x="105"/>
        <item m="1" x="61"/>
        <item m="1" x="26"/>
        <item m="1" x="55"/>
        <item m="1" x="91"/>
        <item m="1" x="76"/>
        <item m="1" x="27"/>
        <item m="1" x="37"/>
        <item m="1" x="98"/>
        <item m="1" x="13"/>
        <item m="1" x="125"/>
        <item m="1" x="83"/>
        <item m="1" x="24"/>
        <item m="1" x="108"/>
        <item m="1" x="54"/>
        <item m="1" x="127"/>
        <item m="1" x="88"/>
        <item m="1" x="31"/>
        <item m="1" x="75"/>
        <item m="1" x="94"/>
        <item m="1" x="107"/>
        <item m="1" x="115"/>
        <item m="1" x="124"/>
        <item m="1" x="12"/>
        <item m="1" x="30"/>
        <item m="1" x="44"/>
        <item m="1" x="33"/>
        <item m="1" x="11"/>
        <item m="1" x="104"/>
        <item m="1" x="121"/>
        <item m="1" x="48"/>
        <item m="1" x="82"/>
        <item m="1" x="36"/>
        <item m="1" x="56"/>
        <item m="1" x="42"/>
        <item m="1" x="65"/>
        <item m="1" x="51"/>
        <item m="1" x="72"/>
        <item m="1" x="57"/>
        <item m="1" x="84"/>
        <item m="1" x="66"/>
        <item m="1" x="92"/>
        <item m="1" x="73"/>
        <item m="1" x="101"/>
        <item m="1" x="85"/>
        <item m="1" x="106"/>
        <item m="1" x="93"/>
        <item m="1" x="110"/>
        <item m="1" x="122"/>
        <item m="1" x="112"/>
        <item m="1" x="96"/>
        <item m="1" x="69"/>
        <item m="1" x="49"/>
        <item m="1" x="63"/>
        <item m="1" x="28"/>
        <item m="1" x="34"/>
        <item m="1" x="43"/>
        <item m="1" x="47"/>
        <item m="1" x="78"/>
        <item m="1" x="123"/>
        <item m="1" x="113"/>
        <item m="1" x="97"/>
        <item m="1" x="64"/>
        <item m="1" x="132"/>
        <item m="1" x="80"/>
        <item m="1" x="68"/>
        <item m="1" x="100"/>
        <item m="1" x="81"/>
        <item m="1" x="60"/>
        <item m="1" x="67"/>
        <item m="1" x="22"/>
        <item m="1" x="86"/>
        <item m="1" x="102"/>
        <item m="1" x="111"/>
        <item m="1" x="119"/>
        <item m="1" x="130"/>
        <item m="1" x="19"/>
        <item m="1" x="38"/>
        <item m="1" x="129"/>
        <item m="1" x="20"/>
        <item m="1" x="87"/>
        <item m="1" x="62"/>
        <item m="1" x="77"/>
        <item m="1" x="23"/>
        <item m="1" x="128"/>
        <item m="1" x="109"/>
        <item m="1" x="59"/>
        <item m="1" x="120"/>
        <item m="1" x="79"/>
        <item m="1" x="99"/>
        <item m="1" x="114"/>
        <item m="1" x="52"/>
        <item m="1" x="74"/>
        <item m="1" x="10"/>
        <item x="0"/>
        <item x="1"/>
        <item x="2"/>
        <item x="4"/>
        <item x="5"/>
        <item x="6"/>
        <item x="7"/>
        <item x="8"/>
        <item x="9"/>
      </items>
    </pivotField>
    <pivotField axis="axisRow" compact="0" outline="0" showAll="0" defaultSubtotal="0">
      <items count="7">
        <item x="0"/>
        <item x="1"/>
        <item x="2"/>
        <item x="4"/>
        <item x="3"/>
        <item m="1" x="6"/>
        <item m="1" x="5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6">
    <i>
      <x v="3"/>
      <x v="5"/>
      <x v="4"/>
      <x/>
    </i>
    <i r="1">
      <x v="124"/>
      <x/>
      <x v="2"/>
    </i>
    <i r="2">
      <x v="1"/>
      <x v="2"/>
    </i>
    <i r="2">
      <x v="2"/>
      <x v="2"/>
    </i>
    <i r="1">
      <x v="125"/>
      <x/>
      <x v="2"/>
    </i>
    <i r="2">
      <x v="1"/>
      <x v="2"/>
    </i>
    <i r="2">
      <x v="2"/>
      <x v="2"/>
    </i>
    <i r="1">
      <x v="126"/>
      <x/>
      <x v="2"/>
    </i>
    <i r="2">
      <x v="1"/>
      <x v="2"/>
    </i>
    <i r="2">
      <x v="2"/>
      <x v="2"/>
    </i>
    <i r="1">
      <x v="127"/>
      <x v="4"/>
      <x/>
    </i>
    <i r="1">
      <x v="128"/>
      <x v="4"/>
      <x/>
    </i>
    <i r="1">
      <x v="129"/>
      <x v="4"/>
      <x/>
    </i>
    <i r="1">
      <x v="130"/>
      <x v="3"/>
      <x v="1"/>
    </i>
    <i r="1">
      <x v="131"/>
      <x v="3"/>
      <x v="1"/>
    </i>
    <i r="1">
      <x v="132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23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5">
        <item m="1" x="16"/>
        <item m="1" x="39"/>
        <item m="1" x="11"/>
        <item m="1" x="91"/>
        <item m="1" x="74"/>
        <item m="1" x="44"/>
        <item m="1" x="100"/>
        <item m="1" x="32"/>
        <item m="1" x="36"/>
        <item m="1" x="103"/>
        <item m="1" x="69"/>
        <item m="1" x="81"/>
        <item m="1" x="86"/>
        <item m="1" x="10"/>
        <item m="1" x="38"/>
        <item m="1" x="28"/>
        <item m="1" x="104"/>
        <item m="1" x="98"/>
        <item m="1" x="26"/>
        <item m="1" x="20"/>
        <item m="1" x="92"/>
        <item m="1" x="12"/>
        <item m="1" x="45"/>
        <item m="1" x="31"/>
        <item m="1" x="56"/>
        <item m="1" x="83"/>
        <item m="1" x="47"/>
        <item m="1" x="17"/>
        <item m="1" x="41"/>
        <item m="1" x="70"/>
        <item m="1" x="60"/>
        <item m="1" x="18"/>
        <item m="1" x="77"/>
        <item m="1" x="9"/>
        <item m="1" x="97"/>
        <item m="1" x="65"/>
        <item m="1" x="85"/>
        <item m="1" x="40"/>
        <item m="1" x="99"/>
        <item m="1" x="68"/>
        <item m="1" x="22"/>
        <item m="1" x="59"/>
        <item m="1" x="73"/>
        <item m="1" x="84"/>
        <item m="1" x="90"/>
        <item m="1" x="8"/>
        <item m="1" x="21"/>
        <item m="1" x="30"/>
        <item m="1" x="23"/>
        <item m="1" x="7"/>
        <item m="1" x="82"/>
        <item m="1" x="94"/>
        <item m="1" x="34"/>
        <item m="1" x="64"/>
        <item m="1" x="25"/>
        <item m="1" x="42"/>
        <item m="1" x="29"/>
        <item m="1" x="50"/>
        <item m="1" x="37"/>
        <item m="1" x="57"/>
        <item m="1" x="43"/>
        <item m="1" x="66"/>
        <item m="1" x="51"/>
        <item m="1" x="71"/>
        <item m="1" x="58"/>
        <item m="1" x="79"/>
        <item m="1" x="72"/>
        <item m="1" x="87"/>
        <item m="1" x="95"/>
        <item m="1" x="75"/>
        <item m="1" x="54"/>
        <item m="1" x="35"/>
        <item m="1" x="48"/>
        <item m="1" x="19"/>
        <item m="1" x="24"/>
        <item m="1" x="33"/>
        <item m="1" x="61"/>
        <item m="1" x="96"/>
        <item m="1" x="89"/>
        <item m="1" x="76"/>
        <item m="1" x="49"/>
        <item m="1" x="62"/>
        <item m="1" x="53"/>
        <item m="1" x="78"/>
        <item m="1" x="63"/>
        <item m="1" x="46"/>
        <item m="1" x="52"/>
        <item m="1" x="15"/>
        <item m="1" x="55"/>
        <item m="1" x="67"/>
        <item m="1" x="80"/>
        <item m="1" x="88"/>
        <item m="1" x="93"/>
        <item m="1" x="102"/>
        <item m="1" x="13"/>
        <item m="1" x="27"/>
        <item m="1" x="101"/>
        <item m="1" x="14"/>
        <item m="1" x="6"/>
        <item x="0"/>
        <item x="1"/>
        <item x="2"/>
        <item x="3"/>
        <item x="4"/>
        <item x="5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21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2"/>
      <x v="7"/>
      <x v="1"/>
    </i>
    <i r="1">
      <x v="103"/>
      <x v="7"/>
      <x v="1"/>
    </i>
    <i r="1">
      <x v="104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1">
        <item m="1" x="39"/>
        <item m="1" x="16"/>
        <item m="1" x="40"/>
        <item m="1" x="17"/>
        <item m="1" x="41"/>
        <item m="1" x="18"/>
        <item m="1" x="42"/>
        <item m="1" x="19"/>
        <item x="6"/>
        <item x="7"/>
        <item x="14"/>
        <item m="1" x="73"/>
        <item m="1" x="60"/>
        <item m="1" x="76"/>
        <item m="1" x="62"/>
        <item m="1" x="77"/>
        <item m="1" x="84"/>
        <item m="1" x="54"/>
        <item m="1" x="23"/>
        <item m="1" x="71"/>
        <item m="1" x="61"/>
        <item m="1" x="59"/>
        <item m="1" x="26"/>
        <item m="1" x="69"/>
        <item m="1" x="34"/>
        <item m="1" x="70"/>
        <item m="1" x="35"/>
        <item m="1" x="68"/>
        <item m="1" x="87"/>
        <item m="1" x="29"/>
        <item m="1" x="90"/>
        <item m="1" x="56"/>
        <item m="1" x="24"/>
        <item m="1" x="85"/>
        <item m="1" x="80"/>
        <item m="1" x="57"/>
        <item m="1" x="25"/>
        <item m="1" x="86"/>
        <item m="1" x="81"/>
        <item m="1" x="20"/>
        <item m="1" x="53"/>
        <item m="1" x="37"/>
        <item m="1" x="28"/>
        <item m="1" x="78"/>
        <item m="1" x="49"/>
        <item m="1" x="79"/>
        <item m="1" x="50"/>
        <item m="1" x="36"/>
        <item m="1" x="31"/>
        <item m="1" x="58"/>
        <item m="1" x="33"/>
        <item m="1" x="89"/>
        <item m="1" x="82"/>
        <item m="1" x="32"/>
        <item m="1" x="30"/>
        <item m="1" x="74"/>
        <item m="1" x="83"/>
        <item m="1" x="21"/>
        <item m="1" x="38"/>
        <item m="1" x="51"/>
        <item m="1" x="72"/>
        <item m="1" x="88"/>
        <item m="1" x="22"/>
        <item m="1" x="48"/>
        <item m="1" x="52"/>
        <item m="1" x="75"/>
        <item m="1" x="55"/>
        <item m="1" x="27"/>
        <item m="1" x="43"/>
        <item m="1" x="63"/>
        <item m="1" x="44"/>
        <item m="1" x="64"/>
        <item m="1" x="45"/>
        <item m="1" x="65"/>
        <item m="1" x="46"/>
        <item m="1" x="66"/>
        <item m="1" x="47"/>
        <item m="1" x="67"/>
        <item m="1" x="15"/>
        <item x="0"/>
        <item x="1"/>
        <item x="2"/>
        <item x="3"/>
        <item x="4"/>
        <item x="5"/>
        <item x="8"/>
        <item x="9"/>
        <item x="10"/>
        <item x="11"/>
        <item x="12"/>
        <item x="1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5">
    <i>
      <x v="3"/>
      <x v="8"/>
      <x/>
      <x/>
    </i>
    <i r="1">
      <x v="9"/>
      <x v="1"/>
      <x/>
    </i>
    <i r="1"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/>
      <x/>
    </i>
    <i r="1">
      <x v="86"/>
      <x v="1"/>
      <x/>
    </i>
    <i r="1">
      <x v="87"/>
      <x/>
      <x/>
    </i>
    <i r="1">
      <x v="88"/>
      <x v="1"/>
      <x/>
    </i>
    <i r="1">
      <x v="89"/>
      <x/>
      <x/>
    </i>
    <i r="1">
      <x v="9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55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54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3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2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1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0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49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48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47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46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45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44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3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2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61" tableType="queryTable" totalsRowShown="0">
  <autoFilter ref="A1:U16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61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60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59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58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57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56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4" x14ac:dyDescent="0.3"/>
  <cols>
    <col min="1" max="1" width="15.21875" bestFit="1" customWidth="1"/>
    <col min="2" max="2" width="80.8867187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1</v>
      </c>
      <c r="E2">
        <v>10</v>
      </c>
      <c r="F2">
        <v>6000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3"/>
  <sheetViews>
    <sheetView tabSelected="1" workbookViewId="0"/>
  </sheetViews>
  <sheetFormatPr defaultRowHeight="14.4" x14ac:dyDescent="0.3"/>
  <cols>
    <col min="1" max="1" width="33.2187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2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2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2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21875" bestFit="1" customWidth="1"/>
    <col min="56" max="56" width="31.88671875" bestFit="1" customWidth="1"/>
    <col min="57" max="57" width="21.7773437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10.6</v>
      </c>
      <c r="O3" t="s">
        <v>66</v>
      </c>
      <c r="P3" t="s">
        <v>91</v>
      </c>
      <c r="Q3" t="s">
        <v>92</v>
      </c>
      <c r="R3" t="s">
        <v>71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1</v>
      </c>
      <c r="AA3" t="s">
        <v>114</v>
      </c>
      <c r="AB3" t="s">
        <v>114</v>
      </c>
      <c r="AC3" t="s">
        <v>114</v>
      </c>
      <c r="AD3" t="s">
        <v>114</v>
      </c>
      <c r="AE3" s="5"/>
      <c r="AF3" s="5"/>
      <c r="AG3" s="5"/>
      <c r="AH3" s="5"/>
      <c r="AI3" s="5"/>
      <c r="AK3" t="s">
        <v>66</v>
      </c>
      <c r="AL3" t="s">
        <v>102</v>
      </c>
      <c r="AM3" t="s">
        <v>103</v>
      </c>
      <c r="AN3" t="s">
        <v>71</v>
      </c>
      <c r="AO3" s="5">
        <v>29.9</v>
      </c>
      <c r="AP3" s="5">
        <v>4.59229666619364</v>
      </c>
      <c r="AQ3" s="5">
        <v>6.4195880795508264</v>
      </c>
      <c r="AR3" s="5">
        <v>20</v>
      </c>
      <c r="AS3" s="5">
        <v>41</v>
      </c>
      <c r="AU3" t="s">
        <v>114</v>
      </c>
      <c r="AV3" t="s">
        <v>114</v>
      </c>
      <c r="AW3" t="s">
        <v>114</v>
      </c>
      <c r="AX3" t="s">
        <v>114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10.6</v>
      </c>
      <c r="P4" t="s">
        <v>84</v>
      </c>
      <c r="Q4" t="s">
        <v>85</v>
      </c>
      <c r="R4" t="s">
        <v>86</v>
      </c>
      <c r="S4" s="5">
        <v>0.66328097868598235</v>
      </c>
      <c r="T4" s="5">
        <v>9.5209427409943759E-2</v>
      </c>
      <c r="U4" s="5">
        <v>0.13309360211006072</v>
      </c>
      <c r="V4" s="5">
        <v>0.50548165778050103</v>
      </c>
      <c r="W4" s="5">
        <v>0.90373198712706704</v>
      </c>
      <c r="X4" s="5">
        <v>0</v>
      </c>
      <c r="Y4" s="5">
        <v>1</v>
      </c>
      <c r="AL4" t="s">
        <v>104</v>
      </c>
      <c r="AM4" t="s">
        <v>105</v>
      </c>
      <c r="AN4" t="s">
        <v>71</v>
      </c>
      <c r="AO4" s="5">
        <v>29.9</v>
      </c>
      <c r="AP4" s="5">
        <v>4.59229666619364</v>
      </c>
      <c r="AQ4" s="5">
        <v>6.4195880795508264</v>
      </c>
      <c r="AR4" s="5">
        <v>20</v>
      </c>
      <c r="AS4" s="5">
        <v>41</v>
      </c>
    </row>
    <row r="5" spans="1:52" x14ac:dyDescent="0.3">
      <c r="C5" t="s">
        <v>73</v>
      </c>
      <c r="D5" t="s">
        <v>71</v>
      </c>
      <c r="E5" s="5">
        <v>784.20112236206649</v>
      </c>
      <c r="F5" s="5">
        <v>1</v>
      </c>
      <c r="G5" s="5">
        <v>202.1926826244985</v>
      </c>
      <c r="H5" s="5">
        <v>282.64588059039443</v>
      </c>
      <c r="I5" s="5">
        <v>555.91771048054204</v>
      </c>
      <c r="J5" s="5">
        <v>1428.38076392469</v>
      </c>
      <c r="K5" s="5">
        <v>254.207735712931</v>
      </c>
      <c r="L5" s="5">
        <v>2305.7438129920101</v>
      </c>
      <c r="M5" s="5">
        <v>10.6</v>
      </c>
      <c r="Q5" t="s">
        <v>87</v>
      </c>
      <c r="R5" t="s">
        <v>86</v>
      </c>
      <c r="S5" s="5">
        <v>0.66328097868598235</v>
      </c>
      <c r="T5" s="5">
        <v>9.5209427409943759E-2</v>
      </c>
      <c r="U5" s="5">
        <v>0.13309360211006072</v>
      </c>
      <c r="V5" s="5">
        <v>0.50548165778050103</v>
      </c>
      <c r="W5" s="5">
        <v>0.90373198712706704</v>
      </c>
      <c r="X5" s="5">
        <v>0</v>
      </c>
      <c r="Y5" s="5">
        <v>1</v>
      </c>
      <c r="AL5" t="s">
        <v>112</v>
      </c>
      <c r="AM5" t="s">
        <v>105</v>
      </c>
      <c r="AN5" t="s">
        <v>113</v>
      </c>
      <c r="AO5" s="5">
        <v>23.1</v>
      </c>
      <c r="AP5" s="5">
        <v>2.4883728790780211</v>
      </c>
      <c r="AQ5" s="5">
        <v>3.4785054261852113</v>
      </c>
      <c r="AR5" s="5">
        <v>17</v>
      </c>
      <c r="AS5" s="5">
        <v>28</v>
      </c>
    </row>
    <row r="6" spans="1:52" x14ac:dyDescent="0.3">
      <c r="C6" t="s">
        <v>74</v>
      </c>
      <c r="D6" t="s">
        <v>71</v>
      </c>
      <c r="E6" s="5">
        <v>40</v>
      </c>
      <c r="F6" s="5">
        <v>1</v>
      </c>
      <c r="G6" s="5">
        <v>0</v>
      </c>
      <c r="H6" s="5">
        <v>0</v>
      </c>
      <c r="I6" s="5">
        <v>40</v>
      </c>
      <c r="J6" s="5">
        <v>40</v>
      </c>
      <c r="K6" s="5">
        <v>40</v>
      </c>
      <c r="L6" s="5">
        <v>40.000000000000199</v>
      </c>
      <c r="M6" s="5">
        <v>10.6</v>
      </c>
      <c r="Q6" t="s">
        <v>88</v>
      </c>
      <c r="R6" t="s">
        <v>86</v>
      </c>
      <c r="S6" s="5">
        <v>1</v>
      </c>
      <c r="T6" s="5">
        <v>0</v>
      </c>
      <c r="U6" s="5">
        <v>0</v>
      </c>
      <c r="V6" s="5">
        <v>1</v>
      </c>
      <c r="W6" s="5">
        <v>1</v>
      </c>
      <c r="X6" s="5">
        <v>1</v>
      </c>
      <c r="Y6" s="5">
        <v>1</v>
      </c>
      <c r="AL6" t="s">
        <v>94</v>
      </c>
      <c r="AM6" t="s">
        <v>95</v>
      </c>
      <c r="AN6" t="s">
        <v>86</v>
      </c>
      <c r="AO6" s="5">
        <v>15.9</v>
      </c>
      <c r="AP6" s="5">
        <v>2.3229219919723874</v>
      </c>
      <c r="AQ6" s="5">
        <v>3.247221034122016</v>
      </c>
      <c r="AR6" s="5">
        <v>12</v>
      </c>
      <c r="AS6" s="5">
        <v>21</v>
      </c>
    </row>
    <row r="7" spans="1:52" x14ac:dyDescent="0.3">
      <c r="C7" t="s">
        <v>75</v>
      </c>
      <c r="D7" t="s">
        <v>71</v>
      </c>
      <c r="E7" s="5">
        <v>296.89527420519096</v>
      </c>
      <c r="F7" s="5">
        <v>1</v>
      </c>
      <c r="G7" s="5">
        <v>10.47858174820529</v>
      </c>
      <c r="H7" s="5">
        <v>14.648047234529662</v>
      </c>
      <c r="I7" s="5">
        <v>269.44190748770097</v>
      </c>
      <c r="J7" s="5">
        <v>324.35016454071598</v>
      </c>
      <c r="K7" s="5">
        <v>214.207735712931</v>
      </c>
      <c r="L7" s="5">
        <v>393.64559223721699</v>
      </c>
      <c r="M7" s="5">
        <v>10.6</v>
      </c>
      <c r="P7" t="s">
        <v>89</v>
      </c>
      <c r="Q7" t="s">
        <v>85</v>
      </c>
      <c r="R7" t="s">
        <v>86</v>
      </c>
      <c r="S7" s="5">
        <v>0.61388612230942741</v>
      </c>
      <c r="T7" s="5">
        <v>8.0588572823863613E-2</v>
      </c>
      <c r="U7" s="5">
        <v>0.11265505672935852</v>
      </c>
      <c r="V7" s="5">
        <v>0.48262851817987601</v>
      </c>
      <c r="W7" s="5">
        <v>0.85064625227951796</v>
      </c>
      <c r="X7" s="5">
        <v>0</v>
      </c>
      <c r="Y7" s="5">
        <v>1</v>
      </c>
      <c r="AL7" t="s">
        <v>96</v>
      </c>
      <c r="AM7" t="s">
        <v>97</v>
      </c>
      <c r="AN7" t="s">
        <v>86</v>
      </c>
      <c r="AO7" s="5">
        <v>0.66328097868598235</v>
      </c>
      <c r="AP7" s="5">
        <v>9.5209427409943759E-2</v>
      </c>
      <c r="AQ7" s="5">
        <v>0.13309360211006072</v>
      </c>
      <c r="AR7" s="5">
        <v>0.50548165778050103</v>
      </c>
      <c r="AS7" s="5">
        <v>0.90373198712706704</v>
      </c>
    </row>
    <row r="8" spans="1:52" x14ac:dyDescent="0.3">
      <c r="C8" t="s">
        <v>76</v>
      </c>
      <c r="D8" t="s">
        <v>71</v>
      </c>
      <c r="E8" s="5">
        <v>447.30584815687496</v>
      </c>
      <c r="F8" s="5">
        <v>1</v>
      </c>
      <c r="G8" s="5">
        <v>207.27790253288231</v>
      </c>
      <c r="H8" s="5">
        <v>289.75452784876359</v>
      </c>
      <c r="I8" s="5">
        <v>213.64883503534199</v>
      </c>
      <c r="J8" s="5">
        <v>1101.7461806817701</v>
      </c>
      <c r="K8" s="5">
        <v>0</v>
      </c>
      <c r="L8" s="5">
        <v>2023.15343968925</v>
      </c>
      <c r="M8" s="5">
        <v>10.6</v>
      </c>
      <c r="Q8" t="s">
        <v>87</v>
      </c>
      <c r="R8" t="s">
        <v>86</v>
      </c>
      <c r="S8" s="5">
        <v>0.61388612230942741</v>
      </c>
      <c r="T8" s="5">
        <v>8.0588572823863613E-2</v>
      </c>
      <c r="U8" s="5">
        <v>0.11265505672935852</v>
      </c>
      <c r="V8" s="5">
        <v>0.48262851817987601</v>
      </c>
      <c r="W8" s="5">
        <v>0.85064625227951796</v>
      </c>
      <c r="X8" s="5">
        <v>0</v>
      </c>
      <c r="Y8" s="5">
        <v>1</v>
      </c>
      <c r="AL8" t="s">
        <v>98</v>
      </c>
      <c r="AM8" t="s">
        <v>95</v>
      </c>
      <c r="AN8" t="s">
        <v>86</v>
      </c>
      <c r="AO8" s="5">
        <v>13.4</v>
      </c>
      <c r="AP8" s="5">
        <v>1.5156265414366468</v>
      </c>
      <c r="AQ8" s="5">
        <v>2.1186998109427626</v>
      </c>
      <c r="AR8" s="5">
        <v>11</v>
      </c>
      <c r="AS8" s="5">
        <v>18</v>
      </c>
    </row>
    <row r="9" spans="1:52" x14ac:dyDescent="0.3">
      <c r="B9" t="s">
        <v>77</v>
      </c>
      <c r="C9" t="s">
        <v>70</v>
      </c>
      <c r="D9" t="s">
        <v>71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8.9</v>
      </c>
      <c r="Q9" t="s">
        <v>88</v>
      </c>
      <c r="R9" t="s">
        <v>86</v>
      </c>
      <c r="S9" s="5">
        <v>1</v>
      </c>
      <c r="T9" s="5">
        <v>0</v>
      </c>
      <c r="U9" s="5">
        <v>0</v>
      </c>
      <c r="V9" s="5">
        <v>1</v>
      </c>
      <c r="W9" s="5">
        <v>1</v>
      </c>
      <c r="X9" s="5">
        <v>1</v>
      </c>
      <c r="Y9" s="5">
        <v>1</v>
      </c>
      <c r="AL9" t="s">
        <v>99</v>
      </c>
      <c r="AM9" t="s">
        <v>97</v>
      </c>
      <c r="AN9" t="s">
        <v>86</v>
      </c>
      <c r="AO9" s="5">
        <v>0.61388612230942741</v>
      </c>
      <c r="AP9" s="5">
        <v>8.0588572823863613E-2</v>
      </c>
      <c r="AQ9" s="5">
        <v>0.11265505672935852</v>
      </c>
      <c r="AR9" s="5">
        <v>0.48262851817987601</v>
      </c>
      <c r="AS9" s="5">
        <v>0.85064625227951796</v>
      </c>
    </row>
    <row r="10" spans="1:52" x14ac:dyDescent="0.3">
      <c r="C10" t="s">
        <v>72</v>
      </c>
      <c r="D10" t="s">
        <v>71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8.9</v>
      </c>
      <c r="P10" t="s">
        <v>90</v>
      </c>
      <c r="Q10" t="s">
        <v>85</v>
      </c>
      <c r="R10" t="s">
        <v>86</v>
      </c>
      <c r="S10" s="5">
        <v>0.82376875514414072</v>
      </c>
      <c r="T10" s="5">
        <v>9.9934848072064403E-2</v>
      </c>
      <c r="U10" s="5">
        <v>0.13969928470385456</v>
      </c>
      <c r="V10" s="5">
        <v>0.51379543219592505</v>
      </c>
      <c r="W10" s="5">
        <v>0.98397972672724299</v>
      </c>
      <c r="X10" s="5">
        <v>0</v>
      </c>
      <c r="Y10" s="5">
        <v>1</v>
      </c>
      <c r="AL10" t="s">
        <v>100</v>
      </c>
      <c r="AM10" t="s">
        <v>95</v>
      </c>
      <c r="AN10" t="s">
        <v>86</v>
      </c>
      <c r="AO10" s="5">
        <v>15.6</v>
      </c>
      <c r="AP10" s="5">
        <v>1.9430570813906995</v>
      </c>
      <c r="AQ10" s="5">
        <v>2.716206504995117</v>
      </c>
      <c r="AR10" s="5">
        <v>10</v>
      </c>
      <c r="AS10" s="5">
        <v>19</v>
      </c>
    </row>
    <row r="11" spans="1:52" x14ac:dyDescent="0.3">
      <c r="C11" t="s">
        <v>73</v>
      </c>
      <c r="D11" t="s">
        <v>71</v>
      </c>
      <c r="E11" s="5">
        <v>843.00052378185433</v>
      </c>
      <c r="F11" s="5">
        <v>1</v>
      </c>
      <c r="G11" s="5">
        <v>80.796871502369726</v>
      </c>
      <c r="H11" s="5">
        <v>112.94623820362342</v>
      </c>
      <c r="I11" s="5">
        <v>693.57154946023297</v>
      </c>
      <c r="J11" s="5">
        <v>1028.16400120407</v>
      </c>
      <c r="K11" s="5">
        <v>526.77529154307194</v>
      </c>
      <c r="L11" s="5">
        <v>1511.4787978939</v>
      </c>
      <c r="M11" s="5">
        <v>8.9</v>
      </c>
      <c r="Q11" t="s">
        <v>87</v>
      </c>
      <c r="R11" t="s">
        <v>86</v>
      </c>
      <c r="S11" s="5">
        <v>0.82376875514414072</v>
      </c>
      <c r="T11" s="5">
        <v>9.9934848072064403E-2</v>
      </c>
      <c r="U11" s="5">
        <v>0.13969928470385456</v>
      </c>
      <c r="V11" s="5">
        <v>0.51379543219592505</v>
      </c>
      <c r="W11" s="5">
        <v>0.98397972672724299</v>
      </c>
      <c r="X11" s="5">
        <v>0</v>
      </c>
      <c r="Y11" s="5">
        <v>1</v>
      </c>
      <c r="AL11" t="s">
        <v>101</v>
      </c>
      <c r="AM11" t="s">
        <v>97</v>
      </c>
      <c r="AN11" t="s">
        <v>86</v>
      </c>
      <c r="AO11" s="5">
        <v>0.82376875514414072</v>
      </c>
      <c r="AP11" s="5">
        <v>9.9934848072064403E-2</v>
      </c>
      <c r="AQ11" s="5">
        <v>0.13969928470385456</v>
      </c>
      <c r="AR11" s="5">
        <v>0.51379543219592505</v>
      </c>
      <c r="AS11" s="5">
        <v>0.98397972672724299</v>
      </c>
    </row>
    <row r="12" spans="1:52" x14ac:dyDescent="0.3">
      <c r="C12" t="s">
        <v>74</v>
      </c>
      <c r="D12" t="s">
        <v>71</v>
      </c>
      <c r="E12" s="5">
        <v>60</v>
      </c>
      <c r="F12" s="5">
        <v>1</v>
      </c>
      <c r="G12" s="5">
        <v>0</v>
      </c>
      <c r="H12" s="5">
        <v>0</v>
      </c>
      <c r="I12" s="5">
        <v>60</v>
      </c>
      <c r="J12" s="5">
        <v>60</v>
      </c>
      <c r="K12" s="5">
        <v>59.999999999999801</v>
      </c>
      <c r="L12" s="5">
        <v>60.000000000000497</v>
      </c>
      <c r="M12" s="5">
        <v>8.9</v>
      </c>
      <c r="Q12" t="s">
        <v>88</v>
      </c>
      <c r="R12" t="s">
        <v>86</v>
      </c>
      <c r="S12" s="5">
        <v>1</v>
      </c>
      <c r="T12" s="5">
        <v>0</v>
      </c>
      <c r="U12" s="5">
        <v>0</v>
      </c>
      <c r="V12" s="5">
        <v>1</v>
      </c>
      <c r="W12" s="5">
        <v>1</v>
      </c>
      <c r="X12" s="5">
        <v>1</v>
      </c>
      <c r="Y12" s="5">
        <v>1</v>
      </c>
      <c r="AL12" t="s">
        <v>106</v>
      </c>
      <c r="AM12" t="s">
        <v>103</v>
      </c>
      <c r="AN12" t="s">
        <v>71</v>
      </c>
      <c r="AO12" s="5">
        <v>13.3</v>
      </c>
      <c r="AP12" s="5">
        <v>3.0546102866388556</v>
      </c>
      <c r="AQ12" s="5">
        <v>4.2700507413066324</v>
      </c>
      <c r="AR12" s="5">
        <v>7</v>
      </c>
      <c r="AS12" s="5">
        <v>20</v>
      </c>
    </row>
    <row r="13" spans="1:52" x14ac:dyDescent="0.3">
      <c r="C13" t="s">
        <v>75</v>
      </c>
      <c r="D13" t="s">
        <v>71</v>
      </c>
      <c r="E13" s="5">
        <v>549.39073712765003</v>
      </c>
      <c r="F13" s="5">
        <v>1</v>
      </c>
      <c r="G13" s="5">
        <v>13.199110000087735</v>
      </c>
      <c r="H13" s="5">
        <v>18.451083494018864</v>
      </c>
      <c r="I13" s="5">
        <v>509.98229231863002</v>
      </c>
      <c r="J13" s="5">
        <v>574.24939700941604</v>
      </c>
      <c r="K13" s="5">
        <v>432.83863966813101</v>
      </c>
      <c r="L13" s="5">
        <v>638.87033632671898</v>
      </c>
      <c r="M13" s="5">
        <v>8.9</v>
      </c>
      <c r="P13" t="s">
        <v>69</v>
      </c>
      <c r="Q13" t="s">
        <v>92</v>
      </c>
      <c r="R13" t="s">
        <v>71</v>
      </c>
      <c r="S13" s="5">
        <v>1.7449219173007218</v>
      </c>
      <c r="T13" s="5">
        <v>0.8323964728088421</v>
      </c>
      <c r="U13" s="5">
        <v>1.1636100327840786</v>
      </c>
      <c r="V13" s="5">
        <v>0.61587295107649098</v>
      </c>
      <c r="W13" s="5">
        <v>4.62111418248214</v>
      </c>
      <c r="X13" s="5">
        <v>0</v>
      </c>
      <c r="Y13" s="5">
        <v>7</v>
      </c>
      <c r="AL13" t="s">
        <v>107</v>
      </c>
      <c r="AM13" t="s">
        <v>105</v>
      </c>
      <c r="AN13" t="s">
        <v>71</v>
      </c>
      <c r="AO13" s="5">
        <v>10.6</v>
      </c>
      <c r="AP13" s="5">
        <v>1.6242785521744192</v>
      </c>
      <c r="AQ13" s="5">
        <v>2.2705848487901892</v>
      </c>
      <c r="AR13" s="5">
        <v>6</v>
      </c>
      <c r="AS13" s="5">
        <v>13</v>
      </c>
    </row>
    <row r="14" spans="1:52" x14ac:dyDescent="0.3">
      <c r="C14" t="s">
        <v>76</v>
      </c>
      <c r="D14" t="s">
        <v>71</v>
      </c>
      <c r="E14" s="5">
        <v>233.60978665420402</v>
      </c>
      <c r="F14" s="5">
        <v>1</v>
      </c>
      <c r="G14" s="5">
        <v>78.693911074334679</v>
      </c>
      <c r="H14" s="5">
        <v>110.00650223339252</v>
      </c>
      <c r="I14" s="5">
        <v>89.514830561986003</v>
      </c>
      <c r="J14" s="5">
        <v>422.37720377067598</v>
      </c>
      <c r="K14" s="5">
        <v>0</v>
      </c>
      <c r="L14" s="5">
        <v>976.52388020276601</v>
      </c>
      <c r="M14" s="5">
        <v>8.9</v>
      </c>
      <c r="P14" t="s">
        <v>77</v>
      </c>
      <c r="Q14" t="s">
        <v>92</v>
      </c>
      <c r="R14" t="s">
        <v>71</v>
      </c>
      <c r="S14" s="5">
        <v>1.4932618444780983</v>
      </c>
      <c r="T14" s="5">
        <v>0.37380363545871892</v>
      </c>
      <c r="U14" s="5">
        <v>0.52254145076226866</v>
      </c>
      <c r="V14" s="5">
        <v>0.96966120558496105</v>
      </c>
      <c r="W14" s="5">
        <v>2.4913718530767301</v>
      </c>
      <c r="X14" s="5">
        <v>0</v>
      </c>
      <c r="Y14" s="5">
        <v>5</v>
      </c>
      <c r="AL14" t="s">
        <v>108</v>
      </c>
      <c r="AM14" t="s">
        <v>103</v>
      </c>
      <c r="AN14" t="s">
        <v>71</v>
      </c>
      <c r="AO14" s="5">
        <v>11.1</v>
      </c>
      <c r="AP14" s="5">
        <v>1.9503590878873462</v>
      </c>
      <c r="AQ14" s="5">
        <v>2.726414006223806</v>
      </c>
      <c r="AR14" s="5">
        <v>8</v>
      </c>
      <c r="AS14" s="5">
        <v>16</v>
      </c>
    </row>
    <row r="15" spans="1:52" x14ac:dyDescent="0.3">
      <c r="B15" t="s">
        <v>78</v>
      </c>
      <c r="C15" t="s">
        <v>70</v>
      </c>
      <c r="D15" t="s">
        <v>71</v>
      </c>
      <c r="E15" s="5">
        <v>0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3.6</v>
      </c>
      <c r="P15" t="s">
        <v>78</v>
      </c>
      <c r="Q15" t="s">
        <v>92</v>
      </c>
      <c r="R15" t="s">
        <v>71</v>
      </c>
      <c r="S15" s="5">
        <v>1.4286586600337643</v>
      </c>
      <c r="T15" s="5">
        <v>0.54110017377262498</v>
      </c>
      <c r="U15" s="5">
        <v>0.75640588530896835</v>
      </c>
      <c r="V15" s="5">
        <v>0.67509473200672698</v>
      </c>
      <c r="W15" s="5">
        <v>3.2826442810797798</v>
      </c>
      <c r="X15" s="5">
        <v>0</v>
      </c>
      <c r="Y15" s="5">
        <v>7</v>
      </c>
      <c r="AL15" t="s">
        <v>109</v>
      </c>
      <c r="AM15" t="s">
        <v>105</v>
      </c>
      <c r="AN15" t="s">
        <v>71</v>
      </c>
      <c r="AO15" s="5">
        <v>8.9</v>
      </c>
      <c r="AP15" s="5">
        <v>1.7343204914786237</v>
      </c>
      <c r="AQ15" s="5">
        <v>2.4244128727957572</v>
      </c>
      <c r="AR15" s="5">
        <v>6</v>
      </c>
      <c r="AS15" s="5">
        <v>14</v>
      </c>
    </row>
    <row r="16" spans="1:52" x14ac:dyDescent="0.3">
      <c r="C16" t="s">
        <v>72</v>
      </c>
      <c r="D16" t="s">
        <v>71</v>
      </c>
      <c r="E16" s="5">
        <v>0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3.6</v>
      </c>
      <c r="P16" t="s">
        <v>79</v>
      </c>
      <c r="Q16" t="s">
        <v>93</v>
      </c>
      <c r="R16" t="s">
        <v>81</v>
      </c>
      <c r="S16" s="5">
        <v>0.53038558221716525</v>
      </c>
      <c r="T16" s="5">
        <v>0.28074822567142471</v>
      </c>
      <c r="U16" s="5">
        <v>0.39245895765901451</v>
      </c>
      <c r="V16" s="5">
        <v>9.2510237370042006E-2</v>
      </c>
      <c r="W16" s="5">
        <v>1.3344747615452</v>
      </c>
      <c r="X16" s="5">
        <v>0</v>
      </c>
      <c r="Y16" s="5">
        <v>5</v>
      </c>
      <c r="AL16" t="s">
        <v>110</v>
      </c>
      <c r="AM16" t="s">
        <v>103</v>
      </c>
      <c r="AN16" t="s">
        <v>71</v>
      </c>
      <c r="AO16" s="5">
        <v>5.5</v>
      </c>
      <c r="AP16" s="5">
        <v>1.4406150637286517</v>
      </c>
      <c r="AQ16" s="5">
        <v>2.0138409955990952</v>
      </c>
      <c r="AR16" s="5">
        <v>3</v>
      </c>
      <c r="AS16" s="5">
        <v>9</v>
      </c>
    </row>
    <row r="17" spans="2:45" x14ac:dyDescent="0.3">
      <c r="C17" t="s">
        <v>73</v>
      </c>
      <c r="D17" t="s">
        <v>71</v>
      </c>
      <c r="E17" s="5">
        <v>1596.674794200479</v>
      </c>
      <c r="F17" s="5">
        <v>1</v>
      </c>
      <c r="G17" s="5">
        <v>257.65087865380895</v>
      </c>
      <c r="H17" s="5">
        <v>360.17109292347374</v>
      </c>
      <c r="I17" s="5">
        <v>1294.7038939982201</v>
      </c>
      <c r="J17" s="5">
        <v>2480.9683265646399</v>
      </c>
      <c r="K17" s="5">
        <v>883.654167763744</v>
      </c>
      <c r="L17" s="5">
        <v>2891.9175620544302</v>
      </c>
      <c r="M17" s="5">
        <v>3.6</v>
      </c>
      <c r="P17" t="s">
        <v>82</v>
      </c>
      <c r="Q17" t="s">
        <v>93</v>
      </c>
      <c r="R17" t="s">
        <v>81</v>
      </c>
      <c r="S17" s="5">
        <v>0.2467605477410765</v>
      </c>
      <c r="T17" s="5">
        <v>0.14973790273305995</v>
      </c>
      <c r="U17" s="5">
        <v>0.20931915451334221</v>
      </c>
      <c r="V17" s="5">
        <v>2.27129878205608E-2</v>
      </c>
      <c r="W17" s="5">
        <v>0.74764143964657803</v>
      </c>
      <c r="X17" s="5">
        <v>0</v>
      </c>
      <c r="Y17" s="5">
        <v>3</v>
      </c>
      <c r="AL17" t="s">
        <v>111</v>
      </c>
      <c r="AM17" t="s">
        <v>105</v>
      </c>
      <c r="AN17" t="s">
        <v>71</v>
      </c>
      <c r="AO17" s="5">
        <v>3.6</v>
      </c>
      <c r="AP17" s="5">
        <v>0.60324191007952155</v>
      </c>
      <c r="AQ17" s="5">
        <v>0.84327404271156814</v>
      </c>
      <c r="AR17" s="5">
        <v>3</v>
      </c>
      <c r="AS17" s="5">
        <v>5</v>
      </c>
    </row>
    <row r="18" spans="2:45" x14ac:dyDescent="0.3">
      <c r="C18" t="s">
        <v>74</v>
      </c>
      <c r="D18" t="s">
        <v>71</v>
      </c>
      <c r="E18" s="5">
        <v>80</v>
      </c>
      <c r="F18" s="5">
        <v>1</v>
      </c>
      <c r="G18" s="5">
        <v>0</v>
      </c>
      <c r="H18" s="5">
        <v>0</v>
      </c>
      <c r="I18" s="5">
        <v>80</v>
      </c>
      <c r="J18" s="5">
        <v>80</v>
      </c>
      <c r="K18" s="5">
        <v>80</v>
      </c>
      <c r="L18" s="5">
        <v>80</v>
      </c>
      <c r="M18" s="5">
        <v>3.6</v>
      </c>
      <c r="P18" t="s">
        <v>83</v>
      </c>
      <c r="Q18" t="s">
        <v>93</v>
      </c>
      <c r="R18" t="s">
        <v>81</v>
      </c>
      <c r="S18" s="5">
        <v>1.548257740428852</v>
      </c>
      <c r="T18" s="5">
        <v>1.1211499731189045</v>
      </c>
      <c r="U18" s="5">
        <v>1.5672595927449962</v>
      </c>
      <c r="V18" s="5">
        <v>0.40125442877856599</v>
      </c>
      <c r="W18" s="5">
        <v>5.62509510911375</v>
      </c>
      <c r="X18" s="5">
        <v>0</v>
      </c>
      <c r="Y18" s="5">
        <v>11</v>
      </c>
    </row>
    <row r="19" spans="2:45" x14ac:dyDescent="0.3">
      <c r="C19" t="s">
        <v>75</v>
      </c>
      <c r="D19" t="s">
        <v>71</v>
      </c>
      <c r="E19" s="5">
        <v>917.06048186514431</v>
      </c>
      <c r="F19" s="5">
        <v>1</v>
      </c>
      <c r="G19" s="5">
        <v>22.311218461636159</v>
      </c>
      <c r="H19" s="5">
        <v>31.188932790635697</v>
      </c>
      <c r="I19" s="5">
        <v>852.00003268033299</v>
      </c>
      <c r="J19" s="5">
        <v>968.47809802756694</v>
      </c>
      <c r="K19" s="5">
        <v>738.93909107327204</v>
      </c>
      <c r="L19" s="5">
        <v>1040.57425091456</v>
      </c>
      <c r="M19" s="5">
        <v>3.6</v>
      </c>
    </row>
    <row r="20" spans="2:45" x14ac:dyDescent="0.3">
      <c r="C20" t="s">
        <v>76</v>
      </c>
      <c r="D20" t="s">
        <v>71</v>
      </c>
      <c r="E20" s="5">
        <v>599.61431233533438</v>
      </c>
      <c r="F20" s="5">
        <v>1</v>
      </c>
      <c r="G20" s="5">
        <v>257.23247678247975</v>
      </c>
      <c r="H20" s="5">
        <v>359.58620743786923</v>
      </c>
      <c r="I20" s="5">
        <v>285.81528231910198</v>
      </c>
      <c r="J20" s="5">
        <v>1469.04982981227</v>
      </c>
      <c r="K20" s="5">
        <v>0</v>
      </c>
      <c r="L20" s="5">
        <v>1980.50467332738</v>
      </c>
      <c r="M20" s="5">
        <v>3.6</v>
      </c>
    </row>
    <row r="21" spans="2:45" x14ac:dyDescent="0.3">
      <c r="B21" t="s">
        <v>79</v>
      </c>
      <c r="C21" t="s">
        <v>80</v>
      </c>
      <c r="D21" t="s">
        <v>81</v>
      </c>
      <c r="E21" s="5">
        <v>169.26697281990306</v>
      </c>
      <c r="F21" s="5">
        <v>1</v>
      </c>
      <c r="G21" s="5">
        <v>61.979273527106102</v>
      </c>
      <c r="H21" s="5">
        <v>86.641050096534258</v>
      </c>
      <c r="I21" s="5">
        <v>42.697032632327101</v>
      </c>
      <c r="J21" s="5">
        <v>306.68947343817803</v>
      </c>
      <c r="K21" s="5">
        <v>0</v>
      </c>
      <c r="L21" s="5">
        <v>1151.5868370686101</v>
      </c>
      <c r="M21" s="5">
        <v>15.9</v>
      </c>
    </row>
    <row r="22" spans="2:45" x14ac:dyDescent="0.3">
      <c r="B22" t="s">
        <v>82</v>
      </c>
      <c r="C22" t="s">
        <v>80</v>
      </c>
      <c r="D22" t="s">
        <v>81</v>
      </c>
      <c r="E22" s="5">
        <v>99.685334345538806</v>
      </c>
      <c r="F22" s="5">
        <v>1</v>
      </c>
      <c r="G22" s="5">
        <v>50.348562883140168</v>
      </c>
      <c r="H22" s="5">
        <v>70.382437721520873</v>
      </c>
      <c r="I22" s="5">
        <v>10.558936234285</v>
      </c>
      <c r="J22" s="5">
        <v>249.21381321552599</v>
      </c>
      <c r="K22" s="5">
        <v>0</v>
      </c>
      <c r="L22" s="5">
        <v>602.52817121718294</v>
      </c>
      <c r="M22" s="5">
        <v>13.4</v>
      </c>
    </row>
    <row r="23" spans="2:45" x14ac:dyDescent="0.3">
      <c r="B23" t="s">
        <v>83</v>
      </c>
      <c r="C23" t="s">
        <v>80</v>
      </c>
      <c r="D23" t="s">
        <v>81</v>
      </c>
      <c r="E23" s="5">
        <v>446.62799305519582</v>
      </c>
      <c r="F23" s="5">
        <v>1</v>
      </c>
      <c r="G23" s="5">
        <v>216.97966353337216</v>
      </c>
      <c r="H23" s="5">
        <v>303.316654557145</v>
      </c>
      <c r="I23" s="5">
        <v>193.08782651087299</v>
      </c>
      <c r="J23" s="5">
        <v>1163.9300078516401</v>
      </c>
      <c r="K23" s="5">
        <v>0</v>
      </c>
      <c r="L23" s="5">
        <v>2023.15343968925</v>
      </c>
      <c r="M23" s="5">
        <v>15.6</v>
      </c>
    </row>
  </sheetData>
  <dataConsolidate/>
  <conditionalFormatting pivot="1" sqref="G3:G23">
    <cfRule type="expression" dxfId="37" priority="10">
      <formula>G3=200000000000000000000</formula>
    </cfRule>
  </conditionalFormatting>
  <conditionalFormatting pivot="1" sqref="T3:T18">
    <cfRule type="expression" dxfId="36" priority="9">
      <formula>T3=200000000000000000000</formula>
    </cfRule>
  </conditionalFormatting>
  <conditionalFormatting pivot="1" sqref="T3:T18">
    <cfRule type="expression" dxfId="35" priority="8">
      <formula>T3=300000000000000000000</formula>
    </cfRule>
  </conditionalFormatting>
  <conditionalFormatting pivot="1" sqref="G3:G23">
    <cfRule type="expression" dxfId="34" priority="7">
      <formula>G3=300000000000000000000</formula>
    </cfRule>
  </conditionalFormatting>
  <conditionalFormatting pivot="1" sqref="F3:F23">
    <cfRule type="expression" dxfId="33" priority="6">
      <formula>F3=0</formula>
    </cfRule>
  </conditionalFormatting>
  <conditionalFormatting pivot="1" sqref="F3:F23">
    <cfRule type="expression" dxfId="32" priority="5">
      <formula>F3=1</formula>
    </cfRule>
  </conditionalFormatting>
  <conditionalFormatting pivot="1" sqref="T3:T18">
    <cfRule type="expression" dxfId="31" priority="4">
      <formula>T3=400000000000000000000</formula>
    </cfRule>
  </conditionalFormatting>
  <conditionalFormatting pivot="1" sqref="AP3:AP17">
    <cfRule type="expression" dxfId="30" priority="3">
      <formula>AP3=400000000000000000000</formula>
    </cfRule>
  </conditionalFormatting>
  <conditionalFormatting pivot="1" sqref="AF3">
    <cfRule type="expression" dxfId="29" priority="2">
      <formula>AF3=400000000000000000000</formula>
    </cfRule>
  </conditionalFormatting>
  <conditionalFormatting pivot="1" sqref="G3:G23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23.6640625" bestFit="1" customWidth="1"/>
    <col min="5" max="5" width="12.21875" bestFit="1" customWidth="1"/>
    <col min="6" max="6" width="9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54.664062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2" bestFit="1" customWidth="1"/>
    <col min="18" max="18" width="18.44140625" bestFit="1" customWidth="1"/>
    <col min="19" max="19" width="18.77734375" customWidth="1"/>
    <col min="20" max="20" width="17.44140625" customWidth="1"/>
    <col min="21" max="21" width="17.77734375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9</v>
      </c>
      <c r="L2" t="str">
        <f>DiscreteStatsTable[[#This Row],[ProjectName]]&amp;DiscreteStatsTable[[#This Row],[Name]]&amp;DiscreteStatsTable[[#This Row],[Type]]&amp;DiscreteStatsTable[[#This Row],[Source]]</f>
        <v>Unnamed ProjectPICTURE_AZULNVA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10.6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9</v>
      </c>
      <c r="L3" t="str">
        <f>DiscreteStatsTable[[#This Row],[ProjectName]]&amp;DiscreteStatsTable[[#This Row],[Name]]&amp;DiscreteStatsTable[[#This Row],[Type]]&amp;DiscreteStatsTable[[#This Row],[Source]]</f>
        <v>Unnamed ProjectPICTURE_AZULOther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10.6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555.91771048054204</v>
      </c>
      <c r="H4">
        <v>2E+20</v>
      </c>
      <c r="I4">
        <v>254.207735712931</v>
      </c>
      <c r="J4">
        <v>912.04993534492996</v>
      </c>
      <c r="K4">
        <v>9</v>
      </c>
      <c r="L4" t="str">
        <f>DiscreteStatsTable[[#This Row],[ProjectName]]&amp;DiscreteStatsTable[[#This Row],[Name]]&amp;DiscreteStatsTable[[#This Row],[Type]]&amp;DiscreteStatsTable[[#This Row],[Source]]</f>
        <v>Unnamed ProjectPICTURE_AZULTotal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784.20112236206649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282.64588059039443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202.1926826244985</v>
      </c>
      <c r="R4" cm="1">
        <f t="array" ref="R4">MIN(IF((DiscreteStatsTable[GroupByKey]=DiscreteStatsTable[[#This Row],[GroupByKey]]),(DiscreteStatsTable[GroupByKey]=DiscreteStatsTable[[#This Row],[GroupByKey]])*DiscreteStatsTable[Average]))</f>
        <v>555.91771048054204</v>
      </c>
      <c r="S4" cm="1">
        <f t="array" ref="S4">MAX(IF((DiscreteStatsTable[GroupByKey]=DiscreteStatsTable[[#This Row],[GroupByKey]]),(DiscreteStatsTable[GroupByKey]=DiscreteStatsTable[[#This Row],[GroupByKey]])*DiscreteStatsTable[Average]))</f>
        <v>1428.38076392469</v>
      </c>
      <c r="T4" cm="1">
        <f t="array" ref="T4">MIN(IF((DiscreteStatsTable[GroupByKey]=DiscreteStatsTable[[#This Row],[GroupByKey]]),(DiscreteStatsTable[GroupByKey]=DiscreteStatsTable[[#This Row],[GroupByKey]])*DiscreteStatsTable[Minimum]))</f>
        <v>254.207735712931</v>
      </c>
      <c r="U4" cm="1">
        <f t="array" ref="U4">MAX(IF((DiscreteStatsTable[GroupByKey]=DiscreteStatsTable[[#This Row],[GroupByKey]]),(DiscreteStatsTable[GroupByKey]=DiscreteStatsTable[[#This Row],[GroupByKey]])*DiscreteStatsTable[Maximum]))</f>
        <v>2305.7438129920101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10.6</v>
      </c>
      <c r="W4">
        <f>IF((DiscreteStatsTable[[#This Row],[RepsRequested]]&gt;1),DiscreteStatsTable[[#This Row],[HalfWidth]],DiscreteStatsTable[[#This Row],[BatchMeansHalfWidth]])</f>
        <v>202.1926826244985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40</v>
      </c>
      <c r="H5">
        <v>2E+20</v>
      </c>
      <c r="I5">
        <v>40</v>
      </c>
      <c r="J5">
        <v>40</v>
      </c>
      <c r="K5">
        <v>9</v>
      </c>
      <c r="L5" t="str">
        <f>DiscreteStatsTable[[#This Row],[ProjectName]]&amp;DiscreteStatsTable[[#This Row],[Name]]&amp;DiscreteStatsTable[[#This Row],[Type]]&amp;DiscreteStatsTable[[#This Row],[Source]]</f>
        <v>Unnamed ProjectPICTURE_AZULTransfer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40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40</v>
      </c>
      <c r="S5" cm="1">
        <f t="array" ref="S5">MAX(IF((DiscreteStatsTable[GroupByKey]=DiscreteStatsTable[[#This Row],[GroupByKey]]),(DiscreteStatsTable[GroupByKey]=DiscreteStatsTable[[#This Row],[GroupByKey]])*DiscreteStatsTable[Average]))</f>
        <v>40</v>
      </c>
      <c r="T5" cm="1">
        <f t="array" ref="T5">MIN(IF((DiscreteStatsTable[GroupByKey]=DiscreteStatsTable[[#This Row],[GroupByKey]]),(DiscreteStatsTable[GroupByKey]=DiscreteStatsTable[[#This Row],[GroupByKey]])*DiscreteStatsTable[Minimum]))</f>
        <v>40</v>
      </c>
      <c r="U5" cm="1">
        <f t="array" ref="U5">MAX(IF((DiscreteStatsTable[GroupByKey]=DiscreteStatsTable[[#This Row],[GroupByKey]]),(DiscreteStatsTable[GroupByKey]=DiscreteStatsTable[[#This Row],[GroupByKey]])*DiscreteStatsTable[Maximum]))</f>
        <v>40.000000000000199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10.6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302.26887544520002</v>
      </c>
      <c r="H6">
        <v>2E+20</v>
      </c>
      <c r="I6">
        <v>214.207735712931</v>
      </c>
      <c r="J6">
        <v>362.15976287837299</v>
      </c>
      <c r="K6">
        <v>9</v>
      </c>
      <c r="L6" t="str">
        <f>DiscreteStatsTable[[#This Row],[ProjectName]]&amp;DiscreteStatsTable[[#This Row],[Name]]&amp;DiscreteStatsTable[[#This Row],[Type]]&amp;DiscreteStatsTable[[#This Row],[Source]]</f>
        <v>Unnamed ProjectPICTURE_AZULVA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296.89527420519096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14.648047234529662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10.47858174820529</v>
      </c>
      <c r="R6" cm="1">
        <f t="array" ref="R6">MIN(IF((DiscreteStatsTable[GroupByKey]=DiscreteStatsTable[[#This Row],[GroupByKey]]),(DiscreteStatsTable[GroupByKey]=DiscreteStatsTable[[#This Row],[GroupByKey]])*DiscreteStatsTable[Average]))</f>
        <v>269.44190748770097</v>
      </c>
      <c r="S6" cm="1">
        <f t="array" ref="S6">MAX(IF((DiscreteStatsTable[GroupByKey]=DiscreteStatsTable[[#This Row],[GroupByKey]]),(DiscreteStatsTable[GroupByKey]=DiscreteStatsTable[[#This Row],[GroupByKey]])*DiscreteStatsTable[Average]))</f>
        <v>324.35016454071598</v>
      </c>
      <c r="T6" cm="1">
        <f t="array" ref="T6">MIN(IF((DiscreteStatsTable[GroupByKey]=DiscreteStatsTable[[#This Row],[GroupByKey]]),(DiscreteStatsTable[GroupByKey]=DiscreteStatsTable[[#This Row],[GroupByKey]])*DiscreteStatsTable[Minimum]))</f>
        <v>214.207735712931</v>
      </c>
      <c r="U6" cm="1">
        <f t="array" ref="U6">MAX(IF((DiscreteStatsTable[GroupByKey]=DiscreteStatsTable[[#This Row],[GroupByKey]]),(DiscreteStatsTable[GroupByKey]=DiscreteStatsTable[[#This Row],[GroupByKey]])*DiscreteStatsTable[Maximum]))</f>
        <v>393.64559223721699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10.6</v>
      </c>
      <c r="W6">
        <f>IF((DiscreteStatsTable[[#This Row],[RepsRequested]]&gt;1),DiscreteStatsTable[[#This Row],[HalfWidth]],DiscreteStatsTable[[#This Row],[BatchMeansHalfWidth]])</f>
        <v>10.47858174820529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213.64883503534199</v>
      </c>
      <c r="H7">
        <v>2E+20</v>
      </c>
      <c r="I7">
        <v>0</v>
      </c>
      <c r="J7">
        <v>620.70767005798098</v>
      </c>
      <c r="K7">
        <v>9</v>
      </c>
      <c r="L7" t="str">
        <f>DiscreteStatsTable[[#This Row],[ProjectName]]&amp;DiscreteStatsTable[[#This Row],[Name]]&amp;DiscreteStatsTable[[#This Row],[Type]]&amp;DiscreteStatsTable[[#This Row],[Source]]</f>
        <v>Unnamed ProjectPICTURE_AZULWait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447.30584815687496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289.75452784876359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207.27790253288231</v>
      </c>
      <c r="R7" cm="1">
        <f t="array" ref="R7">MIN(IF((DiscreteStatsTable[GroupByKey]=DiscreteStatsTable[[#This Row],[GroupByKey]]),(DiscreteStatsTable[GroupByKey]=DiscreteStatsTable[[#This Row],[GroupByKey]])*DiscreteStatsTable[Average]))</f>
        <v>213.64883503534199</v>
      </c>
      <c r="S7" cm="1">
        <f t="array" ref="S7">MAX(IF((DiscreteStatsTable[GroupByKey]=DiscreteStatsTable[[#This Row],[GroupByKey]]),(DiscreteStatsTable[GroupByKey]=DiscreteStatsTable[[#This Row],[GroupByKey]])*DiscreteStatsTable[Average]))</f>
        <v>1101.7461806817701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2023.15343968925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10.6</v>
      </c>
      <c r="W7">
        <f>IF((DiscreteStatsTable[[#This Row],[RepsRequested]]&gt;1),DiscreteStatsTable[[#This Row],[HalfWidth]],DiscreteStatsTable[[#This Row],[BatchMeansHalfWidth]])</f>
        <v>207.27790253288231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11</v>
      </c>
      <c r="L8" t="str">
        <f>DiscreteStatsTable[[#This Row],[ProjectName]]&amp;DiscreteStatsTable[[#This Row],[Name]]&amp;DiscreteStatsTable[[#This Row],[Type]]&amp;DiscreteStatsTable[[#This Row],[Source]]</f>
        <v>Unnamed ProjectPICTURE_AZULNVA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10.6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11</v>
      </c>
      <c r="L9" t="str">
        <f>DiscreteStatsTable[[#This Row],[ProjectName]]&amp;DiscreteStatsTable[[#This Row],[Name]]&amp;DiscreteStatsTable[[#This Row],[Type]]&amp;DiscreteStatsTable[[#This Row],[Source]]</f>
        <v>Unnamed ProjectPICTURE_AZULOther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10.6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791.24776999483299</v>
      </c>
      <c r="H10">
        <v>2E+20</v>
      </c>
      <c r="I10">
        <v>391.09307743975103</v>
      </c>
      <c r="J10">
        <v>1603.2691533550999</v>
      </c>
      <c r="K10">
        <v>11</v>
      </c>
      <c r="L10" t="str">
        <f>DiscreteStatsTable[[#This Row],[ProjectName]]&amp;DiscreteStatsTable[[#This Row],[Name]]&amp;DiscreteStatsTable[[#This Row],[Type]]&amp;DiscreteStatsTable[[#This Row],[Source]]</f>
        <v>Unnamed ProjectPICTURE_AZULTotal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784.20112236206649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282.64588059039443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202.1926826244985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555.91771048054204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1428.38076392469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254.207735712931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2305.7438129920101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10.6</v>
      </c>
      <c r="W10">
        <f>IF((DiscreteStatsTable[[#This Row],[RepsRequested]]&gt;1),DiscreteStatsTable[[#This Row],[HalfWidth]],DiscreteStatsTable[[#This Row],[BatchMeansHalfWidth]])</f>
        <v>202.1926826244985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40</v>
      </c>
      <c r="H11">
        <v>2E+20</v>
      </c>
      <c r="I11">
        <v>40</v>
      </c>
      <c r="J11">
        <v>40</v>
      </c>
      <c r="K11">
        <v>11</v>
      </c>
      <c r="L11" t="str">
        <f>DiscreteStatsTable[[#This Row],[ProjectName]]&amp;DiscreteStatsTable[[#This Row],[Name]]&amp;DiscreteStatsTable[[#This Row],[Type]]&amp;DiscreteStatsTable[[#This Row],[Source]]</f>
        <v>Unnamed ProjectPICTURE_AZULTransfer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40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40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40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40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40.000000000000199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10.6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299.58403733603097</v>
      </c>
      <c r="H12">
        <v>2E+20</v>
      </c>
      <c r="I12">
        <v>243.05883135400401</v>
      </c>
      <c r="J12">
        <v>351.09307743975103</v>
      </c>
      <c r="K12">
        <v>11</v>
      </c>
      <c r="L12" t="str">
        <f>DiscreteStatsTable[[#This Row],[ProjectName]]&amp;DiscreteStatsTable[[#This Row],[Name]]&amp;DiscreteStatsTable[[#This Row],[Type]]&amp;DiscreteStatsTable[[#This Row],[Source]]</f>
        <v>Unnamed ProjectPICTURE_AZULVA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296.89527420519096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14.648047234529662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10.47858174820529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269.44190748770097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324.35016454071598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214.207735712931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393.64559223721699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10.6</v>
      </c>
      <c r="W12">
        <f>IF((DiscreteStatsTable[[#This Row],[RepsRequested]]&gt;1),DiscreteStatsTable[[#This Row],[HalfWidth]],DiscreteStatsTable[[#This Row],[BatchMeansHalfWidth]])</f>
        <v>10.47858174820529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451.66373265880202</v>
      </c>
      <c r="H13">
        <v>2E+20</v>
      </c>
      <c r="I13">
        <v>0</v>
      </c>
      <c r="J13">
        <v>1221.25586555103</v>
      </c>
      <c r="K13">
        <v>11</v>
      </c>
      <c r="L13" t="str">
        <f>DiscreteStatsTable[[#This Row],[ProjectName]]&amp;DiscreteStatsTable[[#This Row],[Name]]&amp;DiscreteStatsTable[[#This Row],[Type]]&amp;DiscreteStatsTable[[#This Row],[Source]]</f>
        <v>Unnamed ProjectPICTURE_AZULWait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447.30584815687496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289.75452784876359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207.27790253288231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213.64883503534199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1101.7461806817701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2023.15343968925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10.6</v>
      </c>
      <c r="W13">
        <f>IF((DiscreteStatsTable[[#This Row],[RepsRequested]]&gt;1),DiscreteStatsTable[[#This Row],[HalfWidth]],DiscreteStatsTable[[#This Row],[BatchMeansHalfWidth]])</f>
        <v>207.27790253288231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13</v>
      </c>
      <c r="L14" t="str">
        <f>DiscreteStatsTable[[#This Row],[ProjectName]]&amp;DiscreteStatsTable[[#This Row],[Name]]&amp;DiscreteStatsTable[[#This Row],[Type]]&amp;DiscreteStatsTable[[#This Row],[Source]]</f>
        <v>Unnamed ProjectPICTURE_AZULNVA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10.6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13</v>
      </c>
      <c r="L15" t="str">
        <f>DiscreteStatsTable[[#This Row],[ProjectName]]&amp;DiscreteStatsTable[[#This Row],[Name]]&amp;DiscreteStatsTable[[#This Row],[Type]]&amp;DiscreteStatsTable[[#This Row],[Source]]</f>
        <v>Unnamed ProjectPICTURE_AZULOther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10.6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1428.38076392469</v>
      </c>
      <c r="H16">
        <v>2E+20</v>
      </c>
      <c r="I16">
        <v>374.17250755590499</v>
      </c>
      <c r="J16">
        <v>2305.7438129920101</v>
      </c>
      <c r="K16">
        <v>13</v>
      </c>
      <c r="L16" t="str">
        <f>DiscreteStatsTable[[#This Row],[ProjectName]]&amp;DiscreteStatsTable[[#This Row],[Name]]&amp;DiscreteStatsTable[[#This Row],[Type]]&amp;DiscreteStatsTable[[#This Row],[Source]]</f>
        <v>Unnamed ProjectPICTURE_AZULTotal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784.20112236206649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282.64588059039443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202.1926826244985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555.91771048054204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1428.38076392469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254.207735712931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2305.7438129920101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10.6</v>
      </c>
      <c r="W16">
        <f>IF((DiscreteStatsTable[[#This Row],[RepsRequested]]&gt;1),DiscreteStatsTable[[#This Row],[HalfWidth]],DiscreteStatsTable[[#This Row],[BatchMeansHalfWidth]])</f>
        <v>202.1926826244985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40</v>
      </c>
      <c r="H17">
        <v>2E+20</v>
      </c>
      <c r="I17">
        <v>40</v>
      </c>
      <c r="J17">
        <v>40</v>
      </c>
      <c r="K17">
        <v>13</v>
      </c>
      <c r="L17" t="str">
        <f>DiscreteStatsTable[[#This Row],[ProjectName]]&amp;DiscreteStatsTable[[#This Row],[Name]]&amp;DiscreteStatsTable[[#This Row],[Type]]&amp;DiscreteStatsTable[[#This Row],[Source]]</f>
        <v>Unnamed ProjectPICTURE_AZULTransfer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40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40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40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40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40.000000000000199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10.6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286.63458324291798</v>
      </c>
      <c r="H18">
        <v>2E+20</v>
      </c>
      <c r="I18">
        <v>231.81991617068499</v>
      </c>
      <c r="J18">
        <v>360.97674786352297</v>
      </c>
      <c r="K18">
        <v>13</v>
      </c>
      <c r="L18" t="str">
        <f>DiscreteStatsTable[[#This Row],[ProjectName]]&amp;DiscreteStatsTable[[#This Row],[Name]]&amp;DiscreteStatsTable[[#This Row],[Type]]&amp;DiscreteStatsTable[[#This Row],[Source]]</f>
        <v>Unnamed ProjectPICTURE_AZULVA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296.89527420519096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14.648047234529662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10.47858174820529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269.44190748770097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324.35016454071598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214.207735712931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393.64559223721699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10.6</v>
      </c>
      <c r="W18">
        <f>IF((DiscreteStatsTable[[#This Row],[RepsRequested]]&gt;1),DiscreteStatsTable[[#This Row],[HalfWidth]],DiscreteStatsTable[[#This Row],[BatchMeansHalfWidth]])</f>
        <v>10.47858174820529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1101.7461806817701</v>
      </c>
      <c r="H19">
        <v>2E+20</v>
      </c>
      <c r="I19">
        <v>0</v>
      </c>
      <c r="J19">
        <v>2023.15343968925</v>
      </c>
      <c r="K19">
        <v>13</v>
      </c>
      <c r="L19" t="str">
        <f>DiscreteStatsTable[[#This Row],[ProjectName]]&amp;DiscreteStatsTable[[#This Row],[Name]]&amp;DiscreteStatsTable[[#This Row],[Type]]&amp;DiscreteStatsTable[[#This Row],[Source]]</f>
        <v>Unnamed ProjectPICTURE_AZULWait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447.30584815687496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289.75452784876359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207.27790253288231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213.64883503534199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1101.7461806817701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2023.15343968925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10.6</v>
      </c>
      <c r="W19">
        <f>IF((DiscreteStatsTable[[#This Row],[RepsRequested]]&gt;1),DiscreteStatsTable[[#This Row],[HalfWidth]],DiscreteStatsTable[[#This Row],[BatchMeansHalfWidth]])</f>
        <v>207.27790253288231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12</v>
      </c>
      <c r="L20" t="str">
        <f>DiscreteStatsTable[[#This Row],[ProjectName]]&amp;DiscreteStatsTable[[#This Row],[Name]]&amp;DiscreteStatsTable[[#This Row],[Type]]&amp;DiscreteStatsTable[[#This Row],[Source]]</f>
        <v>Unnamed ProjectPICTURE_AZULNVA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10.6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12</v>
      </c>
      <c r="L21" t="str">
        <f>DiscreteStatsTable[[#This Row],[ProjectName]]&amp;DiscreteStatsTable[[#This Row],[Name]]&amp;DiscreteStatsTable[[#This Row],[Type]]&amp;DiscreteStatsTable[[#This Row],[Source]]</f>
        <v>Unnamed ProjectPICTURE_AZULOther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10.6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643.29726705351698</v>
      </c>
      <c r="H22">
        <v>2E+20</v>
      </c>
      <c r="I22">
        <v>302.22186381297001</v>
      </c>
      <c r="J22">
        <v>1027.4675467695799</v>
      </c>
      <c r="K22">
        <v>12</v>
      </c>
      <c r="L22" t="str">
        <f>DiscreteStatsTable[[#This Row],[ProjectName]]&amp;DiscreteStatsTable[[#This Row],[Name]]&amp;DiscreteStatsTable[[#This Row],[Type]]&amp;DiscreteStatsTable[[#This Row],[Source]]</f>
        <v>Unnamed ProjectPICTURE_AZULTotal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784.20112236206649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282.64588059039443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202.1926826244985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555.91771048054204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1428.38076392469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254.207735712931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2305.7438129920101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10.6</v>
      </c>
      <c r="W22">
        <f>IF((DiscreteStatsTable[[#This Row],[RepsRequested]]&gt;1),DiscreteStatsTable[[#This Row],[HalfWidth]],DiscreteStatsTable[[#This Row],[BatchMeansHalfWidth]])</f>
        <v>202.1926826244985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40</v>
      </c>
      <c r="H23">
        <v>2E+20</v>
      </c>
      <c r="I23">
        <v>40</v>
      </c>
      <c r="J23">
        <v>40</v>
      </c>
      <c r="K23">
        <v>12</v>
      </c>
      <c r="L23" t="str">
        <f>DiscreteStatsTable[[#This Row],[ProjectName]]&amp;DiscreteStatsTable[[#This Row],[Name]]&amp;DiscreteStatsTable[[#This Row],[Type]]&amp;DiscreteStatsTable[[#This Row],[Source]]</f>
        <v>Unnamed ProjectPICTURE_AZULTransfer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40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40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40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40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40.000000000000199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10.6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288.03880200724399</v>
      </c>
      <c r="H24">
        <v>2E+20</v>
      </c>
      <c r="I24">
        <v>216.527922617728</v>
      </c>
      <c r="J24">
        <v>336.18200273915301</v>
      </c>
      <c r="K24">
        <v>12</v>
      </c>
      <c r="L24" t="str">
        <f>DiscreteStatsTable[[#This Row],[ProjectName]]&amp;DiscreteStatsTable[[#This Row],[Name]]&amp;DiscreteStatsTable[[#This Row],[Type]]&amp;DiscreteStatsTable[[#This Row],[Source]]</f>
        <v>Unnamed ProjectPICTURE_AZULVA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296.89527420519096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14.648047234529662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10.47858174820529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269.44190748770097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324.35016454071598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214.207735712931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393.64559223721699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10.6</v>
      </c>
      <c r="W24">
        <f>IF((DiscreteStatsTable[[#This Row],[RepsRequested]]&gt;1),DiscreteStatsTable[[#This Row],[HalfWidth]],DiscreteStatsTable[[#This Row],[BatchMeansHalfWidth]])</f>
        <v>10.47858174820529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315.25846504627299</v>
      </c>
      <c r="H25">
        <v>2E+20</v>
      </c>
      <c r="I25">
        <v>0</v>
      </c>
      <c r="J25">
        <v>770.93962415184899</v>
      </c>
      <c r="K25">
        <v>12</v>
      </c>
      <c r="L25" t="str">
        <f>DiscreteStatsTable[[#This Row],[ProjectName]]&amp;DiscreteStatsTable[[#This Row],[Name]]&amp;DiscreteStatsTable[[#This Row],[Type]]&amp;DiscreteStatsTable[[#This Row],[Source]]</f>
        <v>Unnamed ProjectPICTURE_AZULWait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447.30584815687496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289.75452784876359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207.27790253288231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213.64883503534199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1101.7461806817701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2023.15343968925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10.6</v>
      </c>
      <c r="W25">
        <f>IF((DiscreteStatsTable[[#This Row],[RepsRequested]]&gt;1),DiscreteStatsTable[[#This Row],[HalfWidth]],DiscreteStatsTable[[#This Row],[BatchMeansHalfWidth]])</f>
        <v>207.27790253288231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12</v>
      </c>
      <c r="L26" t="str">
        <f>DiscreteStatsTable[[#This Row],[ProjectName]]&amp;DiscreteStatsTable[[#This Row],[Name]]&amp;DiscreteStatsTable[[#This Row],[Type]]&amp;DiscreteStatsTable[[#This Row],[Source]]</f>
        <v>Unnamed ProjectPICTURE_AZULNVA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10.6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12</v>
      </c>
      <c r="L27" t="str">
        <f>DiscreteStatsTable[[#This Row],[ProjectName]]&amp;DiscreteStatsTable[[#This Row],[Name]]&amp;DiscreteStatsTable[[#This Row],[Type]]&amp;DiscreteStatsTable[[#This Row],[Source]]</f>
        <v>Unnamed ProjectPICTURE_AZULOther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10.6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847.05401312152901</v>
      </c>
      <c r="H28">
        <v>2E+20</v>
      </c>
      <c r="I28">
        <v>373.314750424208</v>
      </c>
      <c r="J28">
        <v>1480.2011931229599</v>
      </c>
      <c r="K28">
        <v>12</v>
      </c>
      <c r="L28" t="str">
        <f>DiscreteStatsTable[[#This Row],[ProjectName]]&amp;DiscreteStatsTable[[#This Row],[Name]]&amp;DiscreteStatsTable[[#This Row],[Type]]&amp;DiscreteStatsTable[[#This Row],[Source]]</f>
        <v>Unnamed ProjectPICTURE_AZULTotal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784.20112236206649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282.64588059039443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202.1926826244985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555.91771048054204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1428.38076392469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254.207735712931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2305.7438129920101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10.6</v>
      </c>
      <c r="W28">
        <f>IF((DiscreteStatsTable[[#This Row],[RepsRequested]]&gt;1),DiscreteStatsTable[[#This Row],[HalfWidth]],DiscreteStatsTable[[#This Row],[BatchMeansHalfWidth]])</f>
        <v>202.1926826244985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40</v>
      </c>
      <c r="H29">
        <v>2E+20</v>
      </c>
      <c r="I29">
        <v>40</v>
      </c>
      <c r="J29">
        <v>40</v>
      </c>
      <c r="K29">
        <v>12</v>
      </c>
      <c r="L29" t="str">
        <f>DiscreteStatsTable[[#This Row],[ProjectName]]&amp;DiscreteStatsTable[[#This Row],[Name]]&amp;DiscreteStatsTable[[#This Row],[Type]]&amp;DiscreteStatsTable[[#This Row],[Source]]</f>
        <v>Unnamed ProjectPICTURE_AZULTransfer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40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40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40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40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40.000000000000199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10.6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269.44190748770097</v>
      </c>
      <c r="H30">
        <v>2E+20</v>
      </c>
      <c r="I30">
        <v>223.17667296756801</v>
      </c>
      <c r="J30">
        <v>317.34656937284899</v>
      </c>
      <c r="K30">
        <v>12</v>
      </c>
      <c r="L30" t="str">
        <f>DiscreteStatsTable[[#This Row],[ProjectName]]&amp;DiscreteStatsTable[[#This Row],[Name]]&amp;DiscreteStatsTable[[#This Row],[Type]]&amp;DiscreteStatsTable[[#This Row],[Source]]</f>
        <v>Unnamed ProjectPICTURE_AZULVA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296.89527420519096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14.648047234529662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10.47858174820529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269.44190748770097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324.35016454071598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214.207735712931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393.64559223721699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10.6</v>
      </c>
      <c r="W30">
        <f>IF((DiscreteStatsTable[[#This Row],[RepsRequested]]&gt;1),DiscreteStatsTable[[#This Row],[HalfWidth]],DiscreteStatsTable[[#This Row],[BatchMeansHalfWidth]])</f>
        <v>10.47858174820529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537.61210563382804</v>
      </c>
      <c r="H31">
        <v>2E+20</v>
      </c>
      <c r="I31">
        <v>87.665141391034496</v>
      </c>
      <c r="J31">
        <v>1159.9479839186099</v>
      </c>
      <c r="K31">
        <v>12</v>
      </c>
      <c r="L31" t="str">
        <f>DiscreteStatsTable[[#This Row],[ProjectName]]&amp;DiscreteStatsTable[[#This Row],[Name]]&amp;DiscreteStatsTable[[#This Row],[Type]]&amp;DiscreteStatsTable[[#This Row],[Source]]</f>
        <v>Unnamed ProjectPICTURE_AZULWait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447.30584815687496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289.75452784876359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207.27790253288231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213.64883503534199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1101.7461806817701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2023.15343968925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10.6</v>
      </c>
      <c r="W31">
        <f>IF((DiscreteStatsTable[[#This Row],[RepsRequested]]&gt;1),DiscreteStatsTable[[#This Row],[HalfWidth]],DiscreteStatsTable[[#This Row],[BatchMeansHalfWidth]])</f>
        <v>207.27790253288231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13</v>
      </c>
      <c r="L32" t="str">
        <f>DiscreteStatsTable[[#This Row],[ProjectName]]&amp;DiscreteStatsTable[[#This Row],[Name]]&amp;DiscreteStatsTable[[#This Row],[Type]]&amp;DiscreteStatsTable[[#This Row],[Source]]</f>
        <v>Unnamed ProjectPICTURE_AZULNVA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10.6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13</v>
      </c>
      <c r="L33" t="str">
        <f>DiscreteStatsTable[[#This Row],[ProjectName]]&amp;DiscreteStatsTable[[#This Row],[Name]]&amp;DiscreteStatsTable[[#This Row],[Type]]&amp;DiscreteStatsTable[[#This Row],[Source]]</f>
        <v>Unnamed ProjectPICTURE_AZULOther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10.6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661.72315901294098</v>
      </c>
      <c r="H34">
        <v>2E+20</v>
      </c>
      <c r="I34">
        <v>363.09725617599099</v>
      </c>
      <c r="J34">
        <v>1352.1418139555501</v>
      </c>
      <c r="K34">
        <v>13</v>
      </c>
      <c r="L34" t="str">
        <f>DiscreteStatsTable[[#This Row],[ProjectName]]&amp;DiscreteStatsTable[[#This Row],[Name]]&amp;DiscreteStatsTable[[#This Row],[Type]]&amp;DiscreteStatsTable[[#This Row],[Source]]</f>
        <v>Unnamed ProjectPICTURE_AZULTotal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784.20112236206649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282.64588059039443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202.1926826244985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555.91771048054204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1428.38076392469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254.207735712931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2305.7438129920101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10.6</v>
      </c>
      <c r="W34">
        <f>IF((DiscreteStatsTable[[#This Row],[RepsRequested]]&gt;1),DiscreteStatsTable[[#This Row],[HalfWidth]],DiscreteStatsTable[[#This Row],[BatchMeansHalfWidth]])</f>
        <v>202.1926826244985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40</v>
      </c>
      <c r="H35">
        <v>2E+20</v>
      </c>
      <c r="I35">
        <v>40</v>
      </c>
      <c r="J35">
        <v>40.000000000000199</v>
      </c>
      <c r="K35">
        <v>13</v>
      </c>
      <c r="L35" t="str">
        <f>DiscreteStatsTable[[#This Row],[ProjectName]]&amp;DiscreteStatsTable[[#This Row],[Name]]&amp;DiscreteStatsTable[[#This Row],[Type]]&amp;DiscreteStatsTable[[#This Row],[Source]]</f>
        <v>Unnamed ProjectPICTURE_AZULTransfer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40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40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40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40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40.000000000000199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10.6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324.35016454071598</v>
      </c>
      <c r="H36">
        <v>2E+20</v>
      </c>
      <c r="I36">
        <v>246.727490130701</v>
      </c>
      <c r="J36">
        <v>393.64559223721699</v>
      </c>
      <c r="K36">
        <v>13</v>
      </c>
      <c r="L36" t="str">
        <f>DiscreteStatsTable[[#This Row],[ProjectName]]&amp;DiscreteStatsTable[[#This Row],[Name]]&amp;DiscreteStatsTable[[#This Row],[Type]]&amp;DiscreteStatsTable[[#This Row],[Source]]</f>
        <v>Unnamed ProjectPICTURE_AZULVA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296.89527420519096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14.648047234529662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10.47858174820529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269.44190748770097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324.35016454071598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214.207735712931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393.64559223721699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10.6</v>
      </c>
      <c r="W36">
        <f>IF((DiscreteStatsTable[[#This Row],[RepsRequested]]&gt;1),DiscreteStatsTable[[#This Row],[HalfWidth]],DiscreteStatsTable[[#This Row],[BatchMeansHalfWidth]])</f>
        <v>10.47858174820529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297.372994472225</v>
      </c>
      <c r="H37">
        <v>2E+20</v>
      </c>
      <c r="I37">
        <v>0</v>
      </c>
      <c r="J37">
        <v>967.25837315164699</v>
      </c>
      <c r="K37">
        <v>13</v>
      </c>
      <c r="L37" t="str">
        <f>DiscreteStatsTable[[#This Row],[ProjectName]]&amp;DiscreteStatsTable[[#This Row],[Name]]&amp;DiscreteStatsTable[[#This Row],[Type]]&amp;DiscreteStatsTable[[#This Row],[Source]]</f>
        <v>Unnamed ProjectPICTURE_AZULWait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447.30584815687496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289.75452784876359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207.27790253288231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213.64883503534199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1101.7461806817701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2023.15343968925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10.6</v>
      </c>
      <c r="W37">
        <f>IF((DiscreteStatsTable[[#This Row],[RepsRequested]]&gt;1),DiscreteStatsTable[[#This Row],[HalfWidth]],DiscreteStatsTable[[#This Row],[BatchMeansHalfWidth]])</f>
        <v>207.27790253288231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6</v>
      </c>
      <c r="L38" t="str">
        <f>DiscreteStatsTable[[#This Row],[ProjectName]]&amp;DiscreteStatsTable[[#This Row],[Name]]&amp;DiscreteStatsTable[[#This Row],[Type]]&amp;DiscreteStatsTable[[#This Row],[Source]]</f>
        <v>Unnamed ProjectPICTURE_AZULNVA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10.6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6</v>
      </c>
      <c r="L39" t="str">
        <f>DiscreteStatsTable[[#This Row],[ProjectName]]&amp;DiscreteStatsTable[[#This Row],[Name]]&amp;DiscreteStatsTable[[#This Row],[Type]]&amp;DiscreteStatsTable[[#This Row],[Source]]</f>
        <v>Unnamed ProjectPICTURE_AZULOther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10.6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596.23232602785197</v>
      </c>
      <c r="H40">
        <v>2E+20</v>
      </c>
      <c r="I40">
        <v>317.48421408673198</v>
      </c>
      <c r="J40">
        <v>972.454928647472</v>
      </c>
      <c r="K40">
        <v>6</v>
      </c>
      <c r="L40" t="str">
        <f>DiscreteStatsTable[[#This Row],[ProjectName]]&amp;DiscreteStatsTable[[#This Row],[Name]]&amp;DiscreteStatsTable[[#This Row],[Type]]&amp;DiscreteStatsTable[[#This Row],[Source]]</f>
        <v>Unnamed ProjectPICTURE_AZULTotal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784.20112236206649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282.64588059039443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202.1926826244985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555.91771048054204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1428.38076392469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254.207735712931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2305.7438129920101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10.6</v>
      </c>
      <c r="W40">
        <f>IF((DiscreteStatsTable[[#This Row],[RepsRequested]]&gt;1),DiscreteStatsTable[[#This Row],[HalfWidth]],DiscreteStatsTable[[#This Row],[BatchMeansHalfWidth]])</f>
        <v>202.1926826244985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40</v>
      </c>
      <c r="H41">
        <v>2E+20</v>
      </c>
      <c r="I41">
        <v>40</v>
      </c>
      <c r="J41">
        <v>40</v>
      </c>
      <c r="K41">
        <v>6</v>
      </c>
      <c r="L41" t="str">
        <f>DiscreteStatsTable[[#This Row],[ProjectName]]&amp;DiscreteStatsTable[[#This Row],[Name]]&amp;DiscreteStatsTable[[#This Row],[Type]]&amp;DiscreteStatsTable[[#This Row],[Source]]</f>
        <v>Unnamed ProjectPICTURE_AZULTransfer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40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40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40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40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40.000000000000199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10.6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307.74121683766202</v>
      </c>
      <c r="H42">
        <v>2E+20</v>
      </c>
      <c r="I42">
        <v>246.75322409765101</v>
      </c>
      <c r="J42">
        <v>336.64341604981502</v>
      </c>
      <c r="K42">
        <v>6</v>
      </c>
      <c r="L42" t="str">
        <f>DiscreteStatsTable[[#This Row],[ProjectName]]&amp;DiscreteStatsTable[[#This Row],[Name]]&amp;DiscreteStatsTable[[#This Row],[Type]]&amp;DiscreteStatsTable[[#This Row],[Source]]</f>
        <v>Unnamed ProjectPICTURE_AZULVA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296.89527420519096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14.648047234529662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10.47858174820529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269.44190748770097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324.35016454071598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214.207735712931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393.64559223721699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10.6</v>
      </c>
      <c r="W42">
        <f>IF((DiscreteStatsTable[[#This Row],[RepsRequested]]&gt;1),DiscreteStatsTable[[#This Row],[HalfWidth]],DiscreteStatsTable[[#This Row],[BatchMeansHalfWidth]])</f>
        <v>10.47858174820529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248.49110919019</v>
      </c>
      <c r="H43">
        <v>2E+20</v>
      </c>
      <c r="I43">
        <v>0</v>
      </c>
      <c r="J43">
        <v>608.95122759310004</v>
      </c>
      <c r="K43">
        <v>6</v>
      </c>
      <c r="L43" t="str">
        <f>DiscreteStatsTable[[#This Row],[ProjectName]]&amp;DiscreteStatsTable[[#This Row],[Name]]&amp;DiscreteStatsTable[[#This Row],[Type]]&amp;DiscreteStatsTable[[#This Row],[Source]]</f>
        <v>Unnamed ProjectPICTURE_AZULWait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447.30584815687496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289.75452784876359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207.27790253288231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213.64883503534199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1101.7461806817701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2023.15343968925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10.6</v>
      </c>
      <c r="W43">
        <f>IF((DiscreteStatsTable[[#This Row],[RepsRequested]]&gt;1),DiscreteStatsTable[[#This Row],[HalfWidth]],DiscreteStatsTable[[#This Row],[BatchMeansHalfWidth]])</f>
        <v>207.27790253288231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8</v>
      </c>
      <c r="L44" t="str">
        <f>DiscreteStatsTable[[#This Row],[ProjectName]]&amp;DiscreteStatsTable[[#This Row],[Name]]&amp;DiscreteStatsTable[[#This Row],[Type]]&amp;DiscreteStatsTable[[#This Row],[Source]]</f>
        <v>Unnamed ProjectPICTURE_AZULNVA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10.6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8</v>
      </c>
      <c r="L45" t="str">
        <f>DiscreteStatsTable[[#This Row],[ProjectName]]&amp;DiscreteStatsTable[[#This Row],[Name]]&amp;DiscreteStatsTable[[#This Row],[Type]]&amp;DiscreteStatsTable[[#This Row],[Source]]</f>
        <v>Unnamed ProjectPICTURE_AZULOther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10.6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634.61396848857896</v>
      </c>
      <c r="H46">
        <v>2E+20</v>
      </c>
      <c r="I46">
        <v>266.331083891753</v>
      </c>
      <c r="J46">
        <v>952.065983738554</v>
      </c>
      <c r="K46">
        <v>8</v>
      </c>
      <c r="L46" t="str">
        <f>DiscreteStatsTable[[#This Row],[ProjectName]]&amp;DiscreteStatsTable[[#This Row],[Name]]&amp;DiscreteStatsTable[[#This Row],[Type]]&amp;DiscreteStatsTable[[#This Row],[Source]]</f>
        <v>Unnamed ProjectPICTURE_AZULTotal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784.20112236206649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282.64588059039443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202.1926826244985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555.91771048054204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1428.38076392469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254.207735712931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2305.7438129920101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10.6</v>
      </c>
      <c r="W46">
        <f>IF((DiscreteStatsTable[[#This Row],[RepsRequested]]&gt;1),DiscreteStatsTable[[#This Row],[HalfWidth]],DiscreteStatsTable[[#This Row],[BatchMeansHalfWidth]])</f>
        <v>202.1926826244985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40</v>
      </c>
      <c r="H47">
        <v>2E+20</v>
      </c>
      <c r="I47">
        <v>40</v>
      </c>
      <c r="J47">
        <v>40</v>
      </c>
      <c r="K47">
        <v>8</v>
      </c>
      <c r="L47" t="str">
        <f>DiscreteStatsTable[[#This Row],[ProjectName]]&amp;DiscreteStatsTable[[#This Row],[Name]]&amp;DiscreteStatsTable[[#This Row],[Type]]&amp;DiscreteStatsTable[[#This Row],[Source]]</f>
        <v>Unnamed ProjectPICTURE_AZULTransfer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40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40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40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40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40.000000000000199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10.6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302.30518291524203</v>
      </c>
      <c r="H48">
        <v>2E+20</v>
      </c>
      <c r="I48">
        <v>226.331083891753</v>
      </c>
      <c r="J48">
        <v>355.12696749538998</v>
      </c>
      <c r="K48">
        <v>8</v>
      </c>
      <c r="L48" t="str">
        <f>DiscreteStatsTable[[#This Row],[ProjectName]]&amp;DiscreteStatsTable[[#This Row],[Name]]&amp;DiscreteStatsTable[[#This Row],[Type]]&amp;DiscreteStatsTable[[#This Row],[Source]]</f>
        <v>Unnamed ProjectPICTURE_AZULVA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296.89527420519096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14.648047234529662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10.47858174820529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269.44190748770097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324.35016454071598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214.207735712931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393.64559223721699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10.6</v>
      </c>
      <c r="W48">
        <f>IF((DiscreteStatsTable[[#This Row],[RepsRequested]]&gt;1),DiscreteStatsTable[[#This Row],[HalfWidth]],DiscreteStatsTable[[#This Row],[BatchMeansHalfWidth]])</f>
        <v>10.47858174820529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292.30878557333699</v>
      </c>
      <c r="H49">
        <v>2E+20</v>
      </c>
      <c r="I49">
        <v>0</v>
      </c>
      <c r="J49">
        <v>556.93901624316402</v>
      </c>
      <c r="K49">
        <v>8</v>
      </c>
      <c r="L49" t="str">
        <f>DiscreteStatsTable[[#This Row],[ProjectName]]&amp;DiscreteStatsTable[[#This Row],[Name]]&amp;DiscreteStatsTable[[#This Row],[Type]]&amp;DiscreteStatsTable[[#This Row],[Source]]</f>
        <v>Unnamed ProjectPICTURE_AZULWait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447.30584815687496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289.75452784876359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207.27790253288231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213.64883503534199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1101.7461806817701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2023.15343968925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10.6</v>
      </c>
      <c r="W49">
        <f>IF((DiscreteStatsTable[[#This Row],[RepsRequested]]&gt;1),DiscreteStatsTable[[#This Row],[HalfWidth]],DiscreteStatsTable[[#This Row],[BatchMeansHalfWidth]])</f>
        <v>207.27790253288231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11</v>
      </c>
      <c r="L50" t="str">
        <f>DiscreteStatsTable[[#This Row],[ProjectName]]&amp;DiscreteStatsTable[[#This Row],[Name]]&amp;DiscreteStatsTable[[#This Row],[Type]]&amp;DiscreteStatsTable[[#This Row],[Source]]</f>
        <v>Unnamed ProjectPICTURE_AZULNVA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10.6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11</v>
      </c>
      <c r="L51" t="str">
        <f>DiscreteStatsTable[[#This Row],[ProjectName]]&amp;DiscreteStatsTable[[#This Row],[Name]]&amp;DiscreteStatsTable[[#This Row],[Type]]&amp;DiscreteStatsTable[[#This Row],[Source]]</f>
        <v>Unnamed ProjectPICTURE_AZULOther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10.6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1114.46719362417</v>
      </c>
      <c r="H52">
        <v>2E+20</v>
      </c>
      <c r="I52">
        <v>271.865060510224</v>
      </c>
      <c r="J52">
        <v>1776.78432130907</v>
      </c>
      <c r="K52">
        <v>11</v>
      </c>
      <c r="L52" t="str">
        <f>DiscreteStatsTable[[#This Row],[ProjectName]]&amp;DiscreteStatsTable[[#This Row],[Name]]&amp;DiscreteStatsTable[[#This Row],[Type]]&amp;DiscreteStatsTable[[#This Row],[Source]]</f>
        <v>Unnamed ProjectPICTURE_AZULTotal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784.20112236206649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282.64588059039443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202.1926826244985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555.91771048054204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1428.38076392469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254.207735712931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2305.7438129920101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10.6</v>
      </c>
      <c r="W52">
        <f>IF((DiscreteStatsTable[[#This Row],[RepsRequested]]&gt;1),DiscreteStatsTable[[#This Row],[HalfWidth]],DiscreteStatsTable[[#This Row],[BatchMeansHalfWidth]])</f>
        <v>202.1926826244985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40</v>
      </c>
      <c r="H53">
        <v>2E+20</v>
      </c>
      <c r="I53">
        <v>40</v>
      </c>
      <c r="J53">
        <v>40</v>
      </c>
      <c r="K53">
        <v>11</v>
      </c>
      <c r="L53" t="str">
        <f>DiscreteStatsTable[[#This Row],[ProjectName]]&amp;DiscreteStatsTable[[#This Row],[Name]]&amp;DiscreteStatsTable[[#This Row],[Type]]&amp;DiscreteStatsTable[[#This Row],[Source]]</f>
        <v>Unnamed ProjectPICTURE_AZULTransfer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40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40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40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40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40.000000000000199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10.6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289.63725212025298</v>
      </c>
      <c r="H54">
        <v>2E+20</v>
      </c>
      <c r="I54">
        <v>231.855180006701</v>
      </c>
      <c r="J54">
        <v>377.16292159188703</v>
      </c>
      <c r="K54">
        <v>11</v>
      </c>
      <c r="L54" t="str">
        <f>DiscreteStatsTable[[#This Row],[ProjectName]]&amp;DiscreteStatsTable[[#This Row],[Name]]&amp;DiscreteStatsTable[[#This Row],[Type]]&amp;DiscreteStatsTable[[#This Row],[Source]]</f>
        <v>Unnamed ProjectPICTURE_AZULVA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296.89527420519096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14.648047234529662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10.47858174820529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269.44190748770097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324.35016454071598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214.207735712931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393.64559223721699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10.6</v>
      </c>
      <c r="W54">
        <f>IF((DiscreteStatsTable[[#This Row],[RepsRequested]]&gt;1),DiscreteStatsTable[[#This Row],[HalfWidth]],DiscreteStatsTable[[#This Row],[BatchMeansHalfWidth]])</f>
        <v>10.47858174820529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784.82994150391403</v>
      </c>
      <c r="H55">
        <v>2E+20</v>
      </c>
      <c r="I55">
        <v>0</v>
      </c>
      <c r="J55">
        <v>1496.9263218839001</v>
      </c>
      <c r="K55">
        <v>11</v>
      </c>
      <c r="L55" t="str">
        <f>DiscreteStatsTable[[#This Row],[ProjectName]]&amp;DiscreteStatsTable[[#This Row],[Name]]&amp;DiscreteStatsTable[[#This Row],[Type]]&amp;DiscreteStatsTable[[#This Row],[Source]]</f>
        <v>Unnamed ProjectPICTURE_AZULWait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447.30584815687496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289.75452784876359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207.27790253288231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213.64883503534199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1101.7461806817701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2023.15343968925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10.6</v>
      </c>
      <c r="W55">
        <f>IF((DiscreteStatsTable[[#This Row],[RepsRequested]]&gt;1),DiscreteStatsTable[[#This Row],[HalfWidth]],DiscreteStatsTable[[#This Row],[BatchMeansHalfWidth]])</f>
        <v>207.27790253288231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11</v>
      </c>
      <c r="L56" t="str">
        <f>DiscreteStatsTable[[#This Row],[ProjectName]]&amp;DiscreteStatsTable[[#This Row],[Name]]&amp;DiscreteStatsTable[[#This Row],[Type]]&amp;DiscreteStatsTable[[#This Row],[Source]]</f>
        <v>Unnamed ProjectPICTURE_AZULNVA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10.6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11</v>
      </c>
      <c r="L57" t="str">
        <f>DiscreteStatsTable[[#This Row],[ProjectName]]&amp;DiscreteStatsTable[[#This Row],[Name]]&amp;DiscreteStatsTable[[#This Row],[Type]]&amp;DiscreteStatsTable[[#This Row],[Source]]</f>
        <v>Unnamed ProjectPICTURE_AZULOther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10.6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569.07705189201204</v>
      </c>
      <c r="H58">
        <v>2E+20</v>
      </c>
      <c r="I58">
        <v>330.49808191263202</v>
      </c>
      <c r="J58">
        <v>978.14760694060897</v>
      </c>
      <c r="K58">
        <v>11</v>
      </c>
      <c r="L58" t="str">
        <f>DiscreteStatsTable[[#This Row],[ProjectName]]&amp;DiscreteStatsTable[[#This Row],[Name]]&amp;DiscreteStatsTable[[#This Row],[Type]]&amp;DiscreteStatsTable[[#This Row],[Source]]</f>
        <v>Unnamed ProjectPICTURE_AZULTotal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784.20112236206649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282.64588059039443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202.1926826244985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555.91771048054204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1428.38076392469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254.207735712931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2305.7438129920101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10.6</v>
      </c>
      <c r="W58">
        <f>IF((DiscreteStatsTable[[#This Row],[RepsRequested]]&gt;1),DiscreteStatsTable[[#This Row],[HalfWidth]],DiscreteStatsTable[[#This Row],[BatchMeansHalfWidth]])</f>
        <v>202.1926826244985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40</v>
      </c>
      <c r="H59">
        <v>2E+20</v>
      </c>
      <c r="I59">
        <v>40</v>
      </c>
      <c r="J59">
        <v>40</v>
      </c>
      <c r="K59">
        <v>11</v>
      </c>
      <c r="L59" t="str">
        <f>DiscreteStatsTable[[#This Row],[ProjectName]]&amp;DiscreteStatsTable[[#This Row],[Name]]&amp;DiscreteStatsTable[[#This Row],[Type]]&amp;DiscreteStatsTable[[#This Row],[Source]]</f>
        <v>Unnamed ProjectPICTURE_AZULTransfer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40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40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40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40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40.000000000000199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10.6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298.95072011894302</v>
      </c>
      <c r="H60">
        <v>2E+20</v>
      </c>
      <c r="I60">
        <v>226.40434034322899</v>
      </c>
      <c r="J60">
        <v>367.36185052648398</v>
      </c>
      <c r="K60">
        <v>11</v>
      </c>
      <c r="L60" t="str">
        <f>DiscreteStatsTable[[#This Row],[ProjectName]]&amp;DiscreteStatsTable[[#This Row],[Name]]&amp;DiscreteStatsTable[[#This Row],[Type]]&amp;DiscreteStatsTable[[#This Row],[Source]]</f>
        <v>Unnamed ProjectPICTURE_AZULVA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296.89527420519096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14.648047234529662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10.47858174820529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269.44190748770097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324.35016454071598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214.207735712931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393.64559223721699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10.6</v>
      </c>
      <c r="W60">
        <f>IF((DiscreteStatsTable[[#This Row],[RepsRequested]]&gt;1),DiscreteStatsTable[[#This Row],[HalfWidth]],DiscreteStatsTable[[#This Row],[BatchMeansHalfWidth]])</f>
        <v>10.47858174820529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230.12633177306901</v>
      </c>
      <c r="H61">
        <v>2E+20</v>
      </c>
      <c r="I61">
        <v>0</v>
      </c>
      <c r="J61">
        <v>711.74326659738006</v>
      </c>
      <c r="K61">
        <v>11</v>
      </c>
      <c r="L61" t="str">
        <f>DiscreteStatsTable[[#This Row],[ProjectName]]&amp;DiscreteStatsTable[[#This Row],[Name]]&amp;DiscreteStatsTable[[#This Row],[Type]]&amp;DiscreteStatsTable[[#This Row],[Source]]</f>
        <v>Unnamed ProjectPICTURE_AZULWait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447.30584815687496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289.75452784876359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207.27790253288231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213.64883503534199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1101.7461806817701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2023.15343968925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10.6</v>
      </c>
      <c r="W61">
        <f>IF((DiscreteStatsTable[[#This Row],[RepsRequested]]&gt;1),DiscreteStatsTable[[#This Row],[HalfWidth]],DiscreteStatsTable[[#This Row],[BatchMeansHalfWidth]])</f>
        <v>207.27790253288231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</v>
      </c>
      <c r="D62" t="s">
        <v>77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11</v>
      </c>
      <c r="L62" t="str">
        <f>DiscreteStatsTable[[#This Row],[ProjectName]]&amp;DiscreteStatsTable[[#This Row],[Name]]&amp;DiscreteStatsTable[[#This Row],[Type]]&amp;DiscreteStatsTable[[#This Row],[Source]]</f>
        <v>Unnamed ProjectPICTURE_VERDENVA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10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8.9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10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</v>
      </c>
      <c r="D63" t="s">
        <v>77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11</v>
      </c>
      <c r="L63" t="str">
        <f>DiscreteStatsTable[[#This Row],[ProjectName]]&amp;DiscreteStatsTable[[#This Row],[Name]]&amp;DiscreteStatsTable[[#This Row],[Type]]&amp;DiscreteStatsTable[[#This Row],[Source]]</f>
        <v>Unnamed ProjectPICTURE_VERDEOther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10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8.9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10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</v>
      </c>
      <c r="D64" t="s">
        <v>77</v>
      </c>
      <c r="E64" t="s">
        <v>73</v>
      </c>
      <c r="F64" t="s">
        <v>71</v>
      </c>
      <c r="G64">
        <v>856.84440550228203</v>
      </c>
      <c r="H64">
        <v>2E+20</v>
      </c>
      <c r="I64">
        <v>598.83065262159801</v>
      </c>
      <c r="J64">
        <v>1296.45957168727</v>
      </c>
      <c r="K64">
        <v>11</v>
      </c>
      <c r="L64" t="str">
        <f>DiscreteStatsTable[[#This Row],[ProjectName]]&amp;DiscreteStatsTable[[#This Row],[Name]]&amp;DiscreteStatsTable[[#This Row],[Type]]&amp;DiscreteStatsTable[[#This Row],[Source]]</f>
        <v>Unnamed ProjectPICTURE_VERDETotal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10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843.00052378185433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112.94623820362342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80.796871502369726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693.57154946023297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1028.16400120407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526.77529154307194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1511.4787978939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8.9</v>
      </c>
      <c r="W64">
        <f>IF((DiscreteStatsTable[[#This Row],[RepsRequested]]&gt;1),DiscreteStatsTable[[#This Row],[HalfWidth]],DiscreteStatsTable[[#This Row],[BatchMeansHalfWidth]])</f>
        <v>80.796871502369726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10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</v>
      </c>
      <c r="D65" t="s">
        <v>77</v>
      </c>
      <c r="E65" t="s">
        <v>74</v>
      </c>
      <c r="F65" t="s">
        <v>71</v>
      </c>
      <c r="G65">
        <v>60</v>
      </c>
      <c r="H65">
        <v>2E+20</v>
      </c>
      <c r="I65">
        <v>60</v>
      </c>
      <c r="J65">
        <v>60</v>
      </c>
      <c r="K65">
        <v>11</v>
      </c>
      <c r="L65" t="str">
        <f>DiscreteStatsTable[[#This Row],[ProjectName]]&amp;DiscreteStatsTable[[#This Row],[Name]]&amp;DiscreteStatsTable[[#This Row],[Type]]&amp;DiscreteStatsTable[[#This Row],[Source]]</f>
        <v>Unnamed ProjectPICTURE_VERDETransfer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10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60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60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60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59.999999999999801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60.000000000000497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8.9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10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</v>
      </c>
      <c r="D66" t="s">
        <v>77</v>
      </c>
      <c r="E66" t="s">
        <v>75</v>
      </c>
      <c r="F66" t="s">
        <v>71</v>
      </c>
      <c r="G66">
        <v>574.24939700941604</v>
      </c>
      <c r="H66">
        <v>2E+20</v>
      </c>
      <c r="I66">
        <v>472.97331809348401</v>
      </c>
      <c r="J66">
        <v>638.87033632671898</v>
      </c>
      <c r="K66">
        <v>11</v>
      </c>
      <c r="L66" t="str">
        <f>DiscreteStatsTable[[#This Row],[ProjectName]]&amp;DiscreteStatsTable[[#This Row],[Name]]&amp;DiscreteStatsTable[[#This Row],[Type]]&amp;DiscreteStatsTable[[#This Row],[Source]]</f>
        <v>Unnamed ProjectPICTURE_VERDEVA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10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549.39073712765003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18.451083494018864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13.199110000087735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509.98229231863002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574.24939700941604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432.83863966813101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638.87033632671898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8.9</v>
      </c>
      <c r="W66">
        <f>IF((DiscreteStatsTable[[#This Row],[RepsRequested]]&gt;1),DiscreteStatsTable[[#This Row],[HalfWidth]],DiscreteStatsTable[[#This Row],[BatchMeansHalfWidth]])</f>
        <v>13.199110000087735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10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</v>
      </c>
      <c r="D67" t="s">
        <v>77</v>
      </c>
      <c r="E67" t="s">
        <v>76</v>
      </c>
      <c r="F67" t="s">
        <v>71</v>
      </c>
      <c r="G67">
        <v>222.59500849286499</v>
      </c>
      <c r="H67">
        <v>2E+20</v>
      </c>
      <c r="I67">
        <v>0</v>
      </c>
      <c r="J67">
        <v>617.350886126962</v>
      </c>
      <c r="K67">
        <v>11</v>
      </c>
      <c r="L67" t="str">
        <f>DiscreteStatsTable[[#This Row],[ProjectName]]&amp;DiscreteStatsTable[[#This Row],[Name]]&amp;DiscreteStatsTable[[#This Row],[Type]]&amp;DiscreteStatsTable[[#This Row],[Source]]</f>
        <v>Unnamed ProjectPICTURE_VERDEWait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10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233.60978665420402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110.00650223339252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78.693911074334679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89.514830561986003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422.37720377067598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976.52388020276601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8.9</v>
      </c>
      <c r="W67">
        <f>IF((DiscreteStatsTable[[#This Row],[RepsRequested]]&gt;1),DiscreteStatsTable[[#This Row],[HalfWidth]],DiscreteStatsTable[[#This Row],[BatchMeansHalfWidth]])</f>
        <v>78.693911074334679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10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2</v>
      </c>
      <c r="D68" t="s">
        <v>77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7</v>
      </c>
      <c r="L68" t="str">
        <f>DiscreteStatsTable[[#This Row],[ProjectName]]&amp;DiscreteStatsTable[[#This Row],[Name]]&amp;DiscreteStatsTable[[#This Row],[Type]]&amp;DiscreteStatsTable[[#This Row],[Source]]</f>
        <v>Unnamed ProjectPICTURE_VERDENVA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10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8.9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10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2</v>
      </c>
      <c r="D69" t="s">
        <v>77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7</v>
      </c>
      <c r="L69" t="str">
        <f>DiscreteStatsTable[[#This Row],[ProjectName]]&amp;DiscreteStatsTable[[#This Row],[Name]]&amp;DiscreteStatsTable[[#This Row],[Type]]&amp;DiscreteStatsTable[[#This Row],[Source]]</f>
        <v>Unnamed ProjectPICTURE_VERDEOther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10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8.9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10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2</v>
      </c>
      <c r="D70" t="s">
        <v>77</v>
      </c>
      <c r="E70" t="s">
        <v>73</v>
      </c>
      <c r="F70" t="s">
        <v>71</v>
      </c>
      <c r="G70">
        <v>789.59270210365503</v>
      </c>
      <c r="H70">
        <v>2E+20</v>
      </c>
      <c r="I70">
        <v>561.37220849108905</v>
      </c>
      <c r="J70">
        <v>1038.2541069132801</v>
      </c>
      <c r="K70">
        <v>7</v>
      </c>
      <c r="L70" t="str">
        <f>DiscreteStatsTable[[#This Row],[ProjectName]]&amp;DiscreteStatsTable[[#This Row],[Name]]&amp;DiscreteStatsTable[[#This Row],[Type]]&amp;DiscreteStatsTable[[#This Row],[Source]]</f>
        <v>Unnamed ProjectPICTURE_VERDETotal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10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843.00052378185433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112.94623820362342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80.796871502369726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693.57154946023297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1028.16400120407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526.77529154307194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1511.4787978939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8.9</v>
      </c>
      <c r="W70">
        <f>IF((DiscreteStatsTable[[#This Row],[RepsRequested]]&gt;1),DiscreteStatsTable[[#This Row],[HalfWidth]],DiscreteStatsTable[[#This Row],[BatchMeansHalfWidth]])</f>
        <v>80.796871502369726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10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2</v>
      </c>
      <c r="D71" t="s">
        <v>77</v>
      </c>
      <c r="E71" t="s">
        <v>74</v>
      </c>
      <c r="F71" t="s">
        <v>71</v>
      </c>
      <c r="G71">
        <v>60</v>
      </c>
      <c r="H71">
        <v>2E+20</v>
      </c>
      <c r="I71">
        <v>60</v>
      </c>
      <c r="J71">
        <v>60</v>
      </c>
      <c r="K71">
        <v>7</v>
      </c>
      <c r="L71" t="str">
        <f>DiscreteStatsTable[[#This Row],[ProjectName]]&amp;DiscreteStatsTable[[#This Row],[Name]]&amp;DiscreteStatsTable[[#This Row],[Type]]&amp;DiscreteStatsTable[[#This Row],[Source]]</f>
        <v>Unnamed ProjectPICTURE_VERDETransfer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10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60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60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60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59.999999999999801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60.000000000000497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8.9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10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2</v>
      </c>
      <c r="D72" t="s">
        <v>77</v>
      </c>
      <c r="E72" t="s">
        <v>75</v>
      </c>
      <c r="F72" t="s">
        <v>71</v>
      </c>
      <c r="G72">
        <v>545.20437827712601</v>
      </c>
      <c r="H72">
        <v>2E+20</v>
      </c>
      <c r="I72">
        <v>450.871974635534</v>
      </c>
      <c r="J72">
        <v>588.89328003040805</v>
      </c>
      <c r="K72">
        <v>7</v>
      </c>
      <c r="L72" t="str">
        <f>DiscreteStatsTable[[#This Row],[ProjectName]]&amp;DiscreteStatsTable[[#This Row],[Name]]&amp;DiscreteStatsTable[[#This Row],[Type]]&amp;DiscreteStatsTable[[#This Row],[Source]]</f>
        <v>Unnamed ProjectPICTURE_VERDEVA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10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549.39073712765003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18.451083494018864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13.199110000087735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509.98229231863002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574.24939700941604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432.83863966813101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638.87033632671898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8.9</v>
      </c>
      <c r="W72">
        <f>IF((DiscreteStatsTable[[#This Row],[RepsRequested]]&gt;1),DiscreteStatsTable[[#This Row],[HalfWidth]],DiscreteStatsTable[[#This Row],[BatchMeansHalfWidth]])</f>
        <v>13.199110000087735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10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2</v>
      </c>
      <c r="D73" t="s">
        <v>77</v>
      </c>
      <c r="E73" t="s">
        <v>76</v>
      </c>
      <c r="F73" t="s">
        <v>71</v>
      </c>
      <c r="G73">
        <v>184.38832382652899</v>
      </c>
      <c r="H73">
        <v>2E+20</v>
      </c>
      <c r="I73">
        <v>0</v>
      </c>
      <c r="J73">
        <v>417.76185403851599</v>
      </c>
      <c r="K73">
        <v>7</v>
      </c>
      <c r="L73" t="str">
        <f>DiscreteStatsTable[[#This Row],[ProjectName]]&amp;DiscreteStatsTable[[#This Row],[Name]]&amp;DiscreteStatsTable[[#This Row],[Type]]&amp;DiscreteStatsTable[[#This Row],[Source]]</f>
        <v>Unnamed ProjectPICTURE_VERDEWait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10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233.60978665420402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110.00650223339252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78.693911074334679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89.514830561986003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422.37720377067598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976.52388020276601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8.9</v>
      </c>
      <c r="W73">
        <f>IF((DiscreteStatsTable[[#This Row],[RepsRequested]]&gt;1),DiscreteStatsTable[[#This Row],[HalfWidth]],DiscreteStatsTable[[#This Row],[BatchMeansHalfWidth]])</f>
        <v>78.693911074334679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10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3</v>
      </c>
      <c r="D74" t="s">
        <v>77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9</v>
      </c>
      <c r="L74" t="str">
        <f>DiscreteStatsTable[[#This Row],[ProjectName]]&amp;DiscreteStatsTable[[#This Row],[Name]]&amp;DiscreteStatsTable[[#This Row],[Type]]&amp;DiscreteStatsTable[[#This Row],[Source]]</f>
        <v>Unnamed ProjectPICTURE_VERDENVA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10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8.9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10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3</v>
      </c>
      <c r="D75" t="s">
        <v>77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9</v>
      </c>
      <c r="L75" t="str">
        <f>DiscreteStatsTable[[#This Row],[ProjectName]]&amp;DiscreteStatsTable[[#This Row],[Name]]&amp;DiscreteStatsTable[[#This Row],[Type]]&amp;DiscreteStatsTable[[#This Row],[Source]]</f>
        <v>Unnamed ProjectPICTURE_VERDEOther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10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8.9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10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3</v>
      </c>
      <c r="D76" t="s">
        <v>77</v>
      </c>
      <c r="E76" t="s">
        <v>73</v>
      </c>
      <c r="F76" t="s">
        <v>71</v>
      </c>
      <c r="G76">
        <v>868.32544445404994</v>
      </c>
      <c r="H76">
        <v>2E+20</v>
      </c>
      <c r="I76">
        <v>537.26636878218596</v>
      </c>
      <c r="J76">
        <v>1358.8395015660301</v>
      </c>
      <c r="K76">
        <v>9</v>
      </c>
      <c r="L76" t="str">
        <f>DiscreteStatsTable[[#This Row],[ProjectName]]&amp;DiscreteStatsTable[[#This Row],[Name]]&amp;DiscreteStatsTable[[#This Row],[Type]]&amp;DiscreteStatsTable[[#This Row],[Source]]</f>
        <v>Unnamed ProjectPICTURE_VERDETotal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10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843.00052378185433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112.94623820362342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80.796871502369726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693.57154946023297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1028.16400120407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526.77529154307194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1511.4787978939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8.9</v>
      </c>
      <c r="W76">
        <f>IF((DiscreteStatsTable[[#This Row],[RepsRequested]]&gt;1),DiscreteStatsTable[[#This Row],[HalfWidth]],DiscreteStatsTable[[#This Row],[BatchMeansHalfWidth]])</f>
        <v>80.796871502369726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10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3</v>
      </c>
      <c r="D77" t="s">
        <v>77</v>
      </c>
      <c r="E77" t="s">
        <v>74</v>
      </c>
      <c r="F77" t="s">
        <v>71</v>
      </c>
      <c r="G77">
        <v>60</v>
      </c>
      <c r="H77">
        <v>2E+20</v>
      </c>
      <c r="I77">
        <v>60</v>
      </c>
      <c r="J77">
        <v>60</v>
      </c>
      <c r="K77">
        <v>9</v>
      </c>
      <c r="L77" t="str">
        <f>DiscreteStatsTable[[#This Row],[ProjectName]]&amp;DiscreteStatsTable[[#This Row],[Name]]&amp;DiscreteStatsTable[[#This Row],[Type]]&amp;DiscreteStatsTable[[#This Row],[Source]]</f>
        <v>Unnamed ProjectPICTURE_VERDETransfer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10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60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60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60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59.999999999999801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60.000000000000497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8.9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10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3</v>
      </c>
      <c r="D78" t="s">
        <v>77</v>
      </c>
      <c r="E78" t="s">
        <v>75</v>
      </c>
      <c r="F78" t="s">
        <v>71</v>
      </c>
      <c r="G78">
        <v>551.85625711451303</v>
      </c>
      <c r="H78">
        <v>2E+20</v>
      </c>
      <c r="I78">
        <v>477.26636878218602</v>
      </c>
      <c r="J78">
        <v>638.60996047737001</v>
      </c>
      <c r="K78">
        <v>9</v>
      </c>
      <c r="L78" t="str">
        <f>DiscreteStatsTable[[#This Row],[ProjectName]]&amp;DiscreteStatsTable[[#This Row],[Name]]&amp;DiscreteStatsTable[[#This Row],[Type]]&amp;DiscreteStatsTable[[#This Row],[Source]]</f>
        <v>Unnamed ProjectPICTURE_VERDEVA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10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549.39073712765003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18.451083494018864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13.199110000087735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509.98229231863002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574.24939700941604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432.83863966813101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638.87033632671898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8.9</v>
      </c>
      <c r="W78">
        <f>IF((DiscreteStatsTable[[#This Row],[RepsRequested]]&gt;1),DiscreteStatsTable[[#This Row],[HalfWidth]],DiscreteStatsTable[[#This Row],[BatchMeansHalfWidth]])</f>
        <v>13.199110000087735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10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3</v>
      </c>
      <c r="D79" t="s">
        <v>77</v>
      </c>
      <c r="E79" t="s">
        <v>76</v>
      </c>
      <c r="F79" t="s">
        <v>71</v>
      </c>
      <c r="G79">
        <v>256.46918733953697</v>
      </c>
      <c r="H79">
        <v>2E+20</v>
      </c>
      <c r="I79">
        <v>0</v>
      </c>
      <c r="J79">
        <v>701.54897663321594</v>
      </c>
      <c r="K79">
        <v>9</v>
      </c>
      <c r="L79" t="str">
        <f>DiscreteStatsTable[[#This Row],[ProjectName]]&amp;DiscreteStatsTable[[#This Row],[Name]]&amp;DiscreteStatsTable[[#This Row],[Type]]&amp;DiscreteStatsTable[[#This Row],[Source]]</f>
        <v>Unnamed ProjectPICTURE_VERDEWait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10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233.60978665420402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110.00650223339252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78.693911074334679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89.514830561986003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422.37720377067598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976.52388020276601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8.9</v>
      </c>
      <c r="W79">
        <f>IF((DiscreteStatsTable[[#This Row],[RepsRequested]]&gt;1),DiscreteStatsTable[[#This Row],[HalfWidth]],DiscreteStatsTable[[#This Row],[BatchMeansHalfWidth]])</f>
        <v>78.693911074334679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10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4</v>
      </c>
      <c r="D80" t="s">
        <v>77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11</v>
      </c>
      <c r="L80" t="str">
        <f>DiscreteStatsTable[[#This Row],[ProjectName]]&amp;DiscreteStatsTable[[#This Row],[Name]]&amp;DiscreteStatsTable[[#This Row],[Type]]&amp;DiscreteStatsTable[[#This Row],[Source]]</f>
        <v>Unnamed ProjectPICTURE_VERDENVA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10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8.9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10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4</v>
      </c>
      <c r="D81" t="s">
        <v>77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11</v>
      </c>
      <c r="L81" t="str">
        <f>DiscreteStatsTable[[#This Row],[ProjectName]]&amp;DiscreteStatsTable[[#This Row],[Name]]&amp;DiscreteStatsTable[[#This Row],[Type]]&amp;DiscreteStatsTable[[#This Row],[Source]]</f>
        <v>Unnamed ProjectPICTURE_VERDEOther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10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8.9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10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4</v>
      </c>
      <c r="D82" t="s">
        <v>77</v>
      </c>
      <c r="E82" t="s">
        <v>73</v>
      </c>
      <c r="F82" t="s">
        <v>71</v>
      </c>
      <c r="G82">
        <v>1020.62331455668</v>
      </c>
      <c r="H82">
        <v>2E+20</v>
      </c>
      <c r="I82">
        <v>687.56749056259002</v>
      </c>
      <c r="J82">
        <v>1433.3445429482099</v>
      </c>
      <c r="K82">
        <v>11</v>
      </c>
      <c r="L82" t="str">
        <f>DiscreteStatsTable[[#This Row],[ProjectName]]&amp;DiscreteStatsTable[[#This Row],[Name]]&amp;DiscreteStatsTable[[#This Row],[Type]]&amp;DiscreteStatsTable[[#This Row],[Source]]</f>
        <v>Unnamed ProjectPICTURE_VERDETotal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10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843.00052378185433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112.94623820362342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80.796871502369726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693.57154946023297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1028.16400120407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526.77529154307194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1511.4787978939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8.9</v>
      </c>
      <c r="W82">
        <f>IF((DiscreteStatsTable[[#This Row],[RepsRequested]]&gt;1),DiscreteStatsTable[[#This Row],[HalfWidth]],DiscreteStatsTable[[#This Row],[BatchMeansHalfWidth]])</f>
        <v>80.796871502369726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10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4</v>
      </c>
      <c r="D83" t="s">
        <v>77</v>
      </c>
      <c r="E83" t="s">
        <v>74</v>
      </c>
      <c r="F83" t="s">
        <v>71</v>
      </c>
      <c r="G83">
        <v>60</v>
      </c>
      <c r="H83">
        <v>2E+20</v>
      </c>
      <c r="I83">
        <v>59.999999999999801</v>
      </c>
      <c r="J83">
        <v>60.000000000000497</v>
      </c>
      <c r="K83">
        <v>11</v>
      </c>
      <c r="L83" t="str">
        <f>DiscreteStatsTable[[#This Row],[ProjectName]]&amp;DiscreteStatsTable[[#This Row],[Name]]&amp;DiscreteStatsTable[[#This Row],[Type]]&amp;DiscreteStatsTable[[#This Row],[Source]]</f>
        <v>Unnamed ProjectPICTURE_VERDETransfer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10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60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60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60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59.999999999999801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60.000000000000497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8.9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10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4</v>
      </c>
      <c r="D84" t="s">
        <v>77</v>
      </c>
      <c r="E84" t="s">
        <v>75</v>
      </c>
      <c r="F84" t="s">
        <v>71</v>
      </c>
      <c r="G84">
        <v>570.33496070983404</v>
      </c>
      <c r="H84">
        <v>2E+20</v>
      </c>
      <c r="I84">
        <v>513.30849458361502</v>
      </c>
      <c r="J84">
        <v>628.60329949505297</v>
      </c>
      <c r="K84">
        <v>11</v>
      </c>
      <c r="L84" t="str">
        <f>DiscreteStatsTable[[#This Row],[ProjectName]]&amp;DiscreteStatsTable[[#This Row],[Name]]&amp;DiscreteStatsTable[[#This Row],[Type]]&amp;DiscreteStatsTable[[#This Row],[Source]]</f>
        <v>Unnamed ProjectPICTURE_VERDEVA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10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549.39073712765003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18.451083494018864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13.199110000087735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509.98229231863002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574.24939700941604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432.83863966813101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638.87033632671898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8.9</v>
      </c>
      <c r="W84">
        <f>IF((DiscreteStatsTable[[#This Row],[RepsRequested]]&gt;1),DiscreteStatsTable[[#This Row],[HalfWidth]],DiscreteStatsTable[[#This Row],[BatchMeansHalfWidth]])</f>
        <v>13.199110000087735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10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4</v>
      </c>
      <c r="D85" t="s">
        <v>77</v>
      </c>
      <c r="E85" t="s">
        <v>76</v>
      </c>
      <c r="F85" t="s">
        <v>71</v>
      </c>
      <c r="G85">
        <v>390.28835384684402</v>
      </c>
      <c r="H85">
        <v>2E+20</v>
      </c>
      <c r="I85">
        <v>0</v>
      </c>
      <c r="J85">
        <v>843.91745885542605</v>
      </c>
      <c r="K85">
        <v>11</v>
      </c>
      <c r="L85" t="str">
        <f>DiscreteStatsTable[[#This Row],[ProjectName]]&amp;DiscreteStatsTable[[#This Row],[Name]]&amp;DiscreteStatsTable[[#This Row],[Type]]&amp;DiscreteStatsTable[[#This Row],[Source]]</f>
        <v>Unnamed ProjectPICTURE_VERDEWait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10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233.60978665420402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110.00650223339252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78.693911074334679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89.514830561986003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422.37720377067598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976.52388020276601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8.9</v>
      </c>
      <c r="W85">
        <f>IF((DiscreteStatsTable[[#This Row],[RepsRequested]]&gt;1),DiscreteStatsTable[[#This Row],[HalfWidth]],DiscreteStatsTable[[#This Row],[BatchMeansHalfWidth]])</f>
        <v>78.693911074334679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10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5</v>
      </c>
      <c r="D86" t="s">
        <v>77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8</v>
      </c>
      <c r="L86" t="str">
        <f>DiscreteStatsTable[[#This Row],[ProjectName]]&amp;DiscreteStatsTable[[#This Row],[Name]]&amp;DiscreteStatsTable[[#This Row],[Type]]&amp;DiscreteStatsTable[[#This Row],[Source]]</f>
        <v>Unnamed ProjectPICTURE_VERDENVA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10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8.9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10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5</v>
      </c>
      <c r="D87" t="s">
        <v>77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8</v>
      </c>
      <c r="L87" t="str">
        <f>DiscreteStatsTable[[#This Row],[ProjectName]]&amp;DiscreteStatsTable[[#This Row],[Name]]&amp;DiscreteStatsTable[[#This Row],[Type]]&amp;DiscreteStatsTable[[#This Row],[Source]]</f>
        <v>Unnamed ProjectPICTURE_VERDEOther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10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8.9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10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5</v>
      </c>
      <c r="D88" t="s">
        <v>77</v>
      </c>
      <c r="E88" t="s">
        <v>73</v>
      </c>
      <c r="F88" t="s">
        <v>71</v>
      </c>
      <c r="G88">
        <v>784.50776212100402</v>
      </c>
      <c r="H88">
        <v>2E+20</v>
      </c>
      <c r="I88">
        <v>556.680501816591</v>
      </c>
      <c r="J88">
        <v>1150.5434271079901</v>
      </c>
      <c r="K88">
        <v>8</v>
      </c>
      <c r="L88" t="str">
        <f>DiscreteStatsTable[[#This Row],[ProjectName]]&amp;DiscreteStatsTable[[#This Row],[Name]]&amp;DiscreteStatsTable[[#This Row],[Type]]&amp;DiscreteStatsTable[[#This Row],[Source]]</f>
        <v>Unnamed ProjectPICTURE_VERDETotal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10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843.00052378185433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112.94623820362342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80.796871502369726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693.57154946023297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1028.16400120407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526.77529154307194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1511.4787978939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8.9</v>
      </c>
      <c r="W88">
        <f>IF((DiscreteStatsTable[[#This Row],[RepsRequested]]&gt;1),DiscreteStatsTable[[#This Row],[HalfWidth]],DiscreteStatsTable[[#This Row],[BatchMeansHalfWidth]])</f>
        <v>80.796871502369726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10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5</v>
      </c>
      <c r="D89" t="s">
        <v>77</v>
      </c>
      <c r="E89" t="s">
        <v>74</v>
      </c>
      <c r="F89" t="s">
        <v>71</v>
      </c>
      <c r="G89">
        <v>60</v>
      </c>
      <c r="H89">
        <v>2E+20</v>
      </c>
      <c r="I89">
        <v>60</v>
      </c>
      <c r="J89">
        <v>60</v>
      </c>
      <c r="K89">
        <v>8</v>
      </c>
      <c r="L89" t="str">
        <f>DiscreteStatsTable[[#This Row],[ProjectName]]&amp;DiscreteStatsTable[[#This Row],[Name]]&amp;DiscreteStatsTable[[#This Row],[Type]]&amp;DiscreteStatsTable[[#This Row],[Source]]</f>
        <v>Unnamed ProjectPICTURE_VERDETransfer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10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60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60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60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59.999999999999801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60.000000000000497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8.9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10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5</v>
      </c>
      <c r="D90" t="s">
        <v>77</v>
      </c>
      <c r="E90" t="s">
        <v>75</v>
      </c>
      <c r="F90" t="s">
        <v>71</v>
      </c>
      <c r="G90">
        <v>509.98229231863002</v>
      </c>
      <c r="H90">
        <v>2E+20</v>
      </c>
      <c r="I90">
        <v>445.76151894693101</v>
      </c>
      <c r="J90">
        <v>553.63194684878204</v>
      </c>
      <c r="K90">
        <v>8</v>
      </c>
      <c r="L90" t="str">
        <f>DiscreteStatsTable[[#This Row],[ProjectName]]&amp;DiscreteStatsTable[[#This Row],[Name]]&amp;DiscreteStatsTable[[#This Row],[Type]]&amp;DiscreteStatsTable[[#This Row],[Source]]</f>
        <v>Unnamed ProjectPICTURE_VERDEVA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10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549.39073712765003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18.451083494018864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13.199110000087735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509.98229231863002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574.24939700941604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432.83863966813101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638.87033632671898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8.9</v>
      </c>
      <c r="W90">
        <f>IF((DiscreteStatsTable[[#This Row],[RepsRequested]]&gt;1),DiscreteStatsTable[[#This Row],[HalfWidth]],DiscreteStatsTable[[#This Row],[BatchMeansHalfWidth]])</f>
        <v>13.199110000087735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10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5</v>
      </c>
      <c r="D91" t="s">
        <v>77</v>
      </c>
      <c r="E91" t="s">
        <v>76</v>
      </c>
      <c r="F91" t="s">
        <v>71</v>
      </c>
      <c r="G91">
        <v>214.525469802374</v>
      </c>
      <c r="H91">
        <v>2E+20</v>
      </c>
      <c r="I91">
        <v>0</v>
      </c>
      <c r="J91">
        <v>603.49786147541499</v>
      </c>
      <c r="K91">
        <v>8</v>
      </c>
      <c r="L91" t="str">
        <f>DiscreteStatsTable[[#This Row],[ProjectName]]&amp;DiscreteStatsTable[[#This Row],[Name]]&amp;DiscreteStatsTable[[#This Row],[Type]]&amp;DiscreteStatsTable[[#This Row],[Source]]</f>
        <v>Unnamed ProjectPICTURE_VERDEWait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10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233.60978665420402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110.00650223339252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78.693911074334679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89.514830561986003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422.37720377067598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976.52388020276601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8.9</v>
      </c>
      <c r="W91">
        <f>IF((DiscreteStatsTable[[#This Row],[RepsRequested]]&gt;1),DiscreteStatsTable[[#This Row],[HalfWidth]],DiscreteStatsTable[[#This Row],[BatchMeansHalfWidth]])</f>
        <v>78.693911074334679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10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6</v>
      </c>
      <c r="D92" t="s">
        <v>77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7</v>
      </c>
      <c r="L92" t="str">
        <f>DiscreteStatsTable[[#This Row],[ProjectName]]&amp;DiscreteStatsTable[[#This Row],[Name]]&amp;DiscreteStatsTable[[#This Row],[Type]]&amp;DiscreteStatsTable[[#This Row],[Source]]</f>
        <v>Unnamed ProjectPICTURE_VERDENVA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10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8.9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10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6</v>
      </c>
      <c r="D93" t="s">
        <v>77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7</v>
      </c>
      <c r="L93" t="str">
        <f>DiscreteStatsTable[[#This Row],[ProjectName]]&amp;DiscreteStatsTable[[#This Row],[Name]]&amp;DiscreteStatsTable[[#This Row],[Type]]&amp;DiscreteStatsTable[[#This Row],[Source]]</f>
        <v>Unnamed ProjectPICTURE_VERDEOther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10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8.9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10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6</v>
      </c>
      <c r="D94" t="s">
        <v>77</v>
      </c>
      <c r="E94" t="s">
        <v>73</v>
      </c>
      <c r="F94" t="s">
        <v>71</v>
      </c>
      <c r="G94">
        <v>790.53690059251301</v>
      </c>
      <c r="H94">
        <v>2E+20</v>
      </c>
      <c r="I94">
        <v>598.503466205329</v>
      </c>
      <c r="J94">
        <v>1015.2187728249301</v>
      </c>
      <c r="K94">
        <v>7</v>
      </c>
      <c r="L94" t="str">
        <f>DiscreteStatsTable[[#This Row],[ProjectName]]&amp;DiscreteStatsTable[[#This Row],[Name]]&amp;DiscreteStatsTable[[#This Row],[Type]]&amp;DiscreteStatsTable[[#This Row],[Source]]</f>
        <v>Unnamed ProjectPICTURE_VERDETotal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10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843.00052378185433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112.94623820362342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80.796871502369726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693.57154946023297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1028.16400120407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526.77529154307194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1511.4787978939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8.9</v>
      </c>
      <c r="W94">
        <f>IF((DiscreteStatsTable[[#This Row],[RepsRequested]]&gt;1),DiscreteStatsTable[[#This Row],[HalfWidth]],DiscreteStatsTable[[#This Row],[BatchMeansHalfWidth]])</f>
        <v>80.796871502369726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10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6</v>
      </c>
      <c r="D95" t="s">
        <v>77</v>
      </c>
      <c r="E95" t="s">
        <v>74</v>
      </c>
      <c r="F95" t="s">
        <v>71</v>
      </c>
      <c r="G95">
        <v>60</v>
      </c>
      <c r="H95">
        <v>2E+20</v>
      </c>
      <c r="I95">
        <v>60</v>
      </c>
      <c r="J95">
        <v>60</v>
      </c>
      <c r="K95">
        <v>7</v>
      </c>
      <c r="L95" t="str">
        <f>DiscreteStatsTable[[#This Row],[ProjectName]]&amp;DiscreteStatsTable[[#This Row],[Name]]&amp;DiscreteStatsTable[[#This Row],[Type]]&amp;DiscreteStatsTable[[#This Row],[Source]]</f>
        <v>Unnamed ProjectPICTURE_VERDETransfer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10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60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60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60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59.999999999999801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60.000000000000497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8.9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10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6</v>
      </c>
      <c r="D96" t="s">
        <v>77</v>
      </c>
      <c r="E96" t="s">
        <v>75</v>
      </c>
      <c r="F96" t="s">
        <v>71</v>
      </c>
      <c r="G96">
        <v>546.476464488597</v>
      </c>
      <c r="H96">
        <v>2E+20</v>
      </c>
      <c r="I96">
        <v>503.51493514029102</v>
      </c>
      <c r="J96">
        <v>573.87957304127599</v>
      </c>
      <c r="K96">
        <v>7</v>
      </c>
      <c r="L96" t="str">
        <f>DiscreteStatsTable[[#This Row],[ProjectName]]&amp;DiscreteStatsTable[[#This Row],[Name]]&amp;DiscreteStatsTable[[#This Row],[Type]]&amp;DiscreteStatsTable[[#This Row],[Source]]</f>
        <v>Unnamed ProjectPICTURE_VERDEVA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10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549.39073712765003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18.451083494018864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13.199110000087735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509.98229231863002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574.24939700941604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432.83863966813101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638.87033632671898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8.9</v>
      </c>
      <c r="W96">
        <f>IF((DiscreteStatsTable[[#This Row],[RepsRequested]]&gt;1),DiscreteStatsTable[[#This Row],[HalfWidth]],DiscreteStatsTable[[#This Row],[BatchMeansHalfWidth]])</f>
        <v>13.199110000087735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10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6</v>
      </c>
      <c r="D97" t="s">
        <v>77</v>
      </c>
      <c r="E97" t="s">
        <v>76</v>
      </c>
      <c r="F97" t="s">
        <v>71</v>
      </c>
      <c r="G97">
        <v>184.060436103916</v>
      </c>
      <c r="H97">
        <v>2E+20</v>
      </c>
      <c r="I97">
        <v>0</v>
      </c>
      <c r="J97">
        <v>451.70383768464001</v>
      </c>
      <c r="K97">
        <v>7</v>
      </c>
      <c r="L97" t="str">
        <f>DiscreteStatsTable[[#This Row],[ProjectName]]&amp;DiscreteStatsTable[[#This Row],[Name]]&amp;DiscreteStatsTable[[#This Row],[Type]]&amp;DiscreteStatsTable[[#This Row],[Source]]</f>
        <v>Unnamed ProjectPICTURE_VERDEWait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10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233.60978665420402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110.00650223339252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78.693911074334679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89.514830561986003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422.37720377067598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976.52388020276601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8.9</v>
      </c>
      <c r="W97">
        <f>IF((DiscreteStatsTable[[#This Row],[RepsRequested]]&gt;1),DiscreteStatsTable[[#This Row],[HalfWidth]],DiscreteStatsTable[[#This Row],[BatchMeansHalfWidth]])</f>
        <v>78.693911074334679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10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7</v>
      </c>
      <c r="D98" t="s">
        <v>77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8</v>
      </c>
      <c r="L98" t="str">
        <f>DiscreteStatsTable[[#This Row],[ProjectName]]&amp;DiscreteStatsTable[[#This Row],[Name]]&amp;DiscreteStatsTable[[#This Row],[Type]]&amp;DiscreteStatsTable[[#This Row],[Source]]</f>
        <v>Unnamed ProjectPICTURE_VERDENVA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10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8.9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10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7</v>
      </c>
      <c r="D99" t="s">
        <v>77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8</v>
      </c>
      <c r="L99" t="str">
        <f>DiscreteStatsTable[[#This Row],[ProjectName]]&amp;DiscreteStatsTable[[#This Row],[Name]]&amp;DiscreteStatsTable[[#This Row],[Type]]&amp;DiscreteStatsTable[[#This Row],[Source]]</f>
        <v>Unnamed ProjectPICTURE_VERDEOther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10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8.9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10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7</v>
      </c>
      <c r="D100" t="s">
        <v>77</v>
      </c>
      <c r="E100" t="s">
        <v>73</v>
      </c>
      <c r="F100" t="s">
        <v>71</v>
      </c>
      <c r="G100">
        <v>718.60210706450505</v>
      </c>
      <c r="H100">
        <v>2E+20</v>
      </c>
      <c r="I100">
        <v>585.09772281199105</v>
      </c>
      <c r="J100">
        <v>929.70896457078004</v>
      </c>
      <c r="K100">
        <v>8</v>
      </c>
      <c r="L100" t="str">
        <f>DiscreteStatsTable[[#This Row],[ProjectName]]&amp;DiscreteStatsTable[[#This Row],[Name]]&amp;DiscreteStatsTable[[#This Row],[Type]]&amp;DiscreteStatsTable[[#This Row],[Source]]</f>
        <v>Unnamed ProjectPICTURE_VERDETotal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10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843.00052378185433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112.94623820362342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80.796871502369726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693.57154946023297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1028.16400120407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526.77529154307194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1511.4787978939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8.9</v>
      </c>
      <c r="W100">
        <f>IF((DiscreteStatsTable[[#This Row],[RepsRequested]]&gt;1),DiscreteStatsTable[[#This Row],[HalfWidth]],DiscreteStatsTable[[#This Row],[BatchMeansHalfWidth]])</f>
        <v>80.796871502369726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10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7</v>
      </c>
      <c r="D101" t="s">
        <v>77</v>
      </c>
      <c r="E101" t="s">
        <v>74</v>
      </c>
      <c r="F101" t="s">
        <v>71</v>
      </c>
      <c r="G101">
        <v>60</v>
      </c>
      <c r="H101">
        <v>2E+20</v>
      </c>
      <c r="I101">
        <v>60</v>
      </c>
      <c r="J101">
        <v>60</v>
      </c>
      <c r="K101">
        <v>8</v>
      </c>
      <c r="L101" t="str">
        <f>DiscreteStatsTable[[#This Row],[ProjectName]]&amp;DiscreteStatsTable[[#This Row],[Name]]&amp;DiscreteStatsTable[[#This Row],[Type]]&amp;DiscreteStatsTable[[#This Row],[Source]]</f>
        <v>Unnamed ProjectPICTURE_VERDETransfer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10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60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60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60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59.999999999999801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60.000000000000497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8.9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10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7</v>
      </c>
      <c r="D102" t="s">
        <v>77</v>
      </c>
      <c r="E102" t="s">
        <v>75</v>
      </c>
      <c r="F102" t="s">
        <v>71</v>
      </c>
      <c r="G102">
        <v>566.30370569432</v>
      </c>
      <c r="H102">
        <v>2E+20</v>
      </c>
      <c r="I102">
        <v>525.09772281199105</v>
      </c>
      <c r="J102">
        <v>634.09223843997404</v>
      </c>
      <c r="K102">
        <v>8</v>
      </c>
      <c r="L102" t="str">
        <f>DiscreteStatsTable[[#This Row],[ProjectName]]&amp;DiscreteStatsTable[[#This Row],[Name]]&amp;DiscreteStatsTable[[#This Row],[Type]]&amp;DiscreteStatsTable[[#This Row],[Source]]</f>
        <v>Unnamed ProjectPICTURE_VERDEVA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10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549.39073712765003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18.451083494018864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13.199110000087735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509.98229231863002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574.24939700941604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432.83863966813101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638.87033632671898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8.9</v>
      </c>
      <c r="W102">
        <f>IF((DiscreteStatsTable[[#This Row],[RepsRequested]]&gt;1),DiscreteStatsTable[[#This Row],[HalfWidth]],DiscreteStatsTable[[#This Row],[BatchMeansHalfWidth]])</f>
        <v>13.199110000087735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10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7</v>
      </c>
      <c r="D103" t="s">
        <v>77</v>
      </c>
      <c r="E103" t="s">
        <v>76</v>
      </c>
      <c r="F103" t="s">
        <v>71</v>
      </c>
      <c r="G103">
        <v>92.298401370185402</v>
      </c>
      <c r="H103">
        <v>2E+20</v>
      </c>
      <c r="I103">
        <v>0</v>
      </c>
      <c r="J103">
        <v>330.363336859951</v>
      </c>
      <c r="K103">
        <v>8</v>
      </c>
      <c r="L103" t="str">
        <f>DiscreteStatsTable[[#This Row],[ProjectName]]&amp;DiscreteStatsTable[[#This Row],[Name]]&amp;DiscreteStatsTable[[#This Row],[Type]]&amp;DiscreteStatsTable[[#This Row],[Source]]</f>
        <v>Unnamed ProjectPICTURE_VERDEWait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10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233.60978665420402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110.00650223339252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78.693911074334679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89.514830561986003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422.37720377067598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976.52388020276601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8.9</v>
      </c>
      <c r="W103">
        <f>IF((DiscreteStatsTable[[#This Row],[RepsRequested]]&gt;1),DiscreteStatsTable[[#This Row],[HalfWidth]],DiscreteStatsTable[[#This Row],[BatchMeansHalfWidth]])</f>
        <v>78.693911074334679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10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8</v>
      </c>
      <c r="D104" t="s">
        <v>77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6</v>
      </c>
      <c r="L104" t="str">
        <f>DiscreteStatsTable[[#This Row],[ProjectName]]&amp;DiscreteStatsTable[[#This Row],[Name]]&amp;DiscreteStatsTable[[#This Row],[Type]]&amp;DiscreteStatsTable[[#This Row],[Source]]</f>
        <v>Unnamed ProjectPICTURE_VERDENVA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10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8.9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10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8</v>
      </c>
      <c r="D105" t="s">
        <v>77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6</v>
      </c>
      <c r="L105" t="str">
        <f>DiscreteStatsTable[[#This Row],[ProjectName]]&amp;DiscreteStatsTable[[#This Row],[Name]]&amp;DiscreteStatsTable[[#This Row],[Type]]&amp;DiscreteStatsTable[[#This Row],[Source]]</f>
        <v>Unnamed ProjectPICTURE_VERDEOther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10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8.9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10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8</v>
      </c>
      <c r="D106" t="s">
        <v>77</v>
      </c>
      <c r="E106" t="s">
        <v>73</v>
      </c>
      <c r="F106" t="s">
        <v>71</v>
      </c>
      <c r="G106">
        <v>693.57154946023297</v>
      </c>
      <c r="H106">
        <v>2E+20</v>
      </c>
      <c r="I106">
        <v>528.65835084081698</v>
      </c>
      <c r="J106">
        <v>993.79546009182695</v>
      </c>
      <c r="K106">
        <v>6</v>
      </c>
      <c r="L106" t="str">
        <f>DiscreteStatsTable[[#This Row],[ProjectName]]&amp;DiscreteStatsTable[[#This Row],[Name]]&amp;DiscreteStatsTable[[#This Row],[Type]]&amp;DiscreteStatsTable[[#This Row],[Source]]</f>
        <v>Unnamed ProjectPICTURE_VERDETotal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10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843.00052378185433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112.94623820362342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80.796871502369726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693.57154946023297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1028.16400120407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526.77529154307194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1511.4787978939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8.9</v>
      </c>
      <c r="W106">
        <f>IF((DiscreteStatsTable[[#This Row],[RepsRequested]]&gt;1),DiscreteStatsTable[[#This Row],[HalfWidth]],DiscreteStatsTable[[#This Row],[BatchMeansHalfWidth]])</f>
        <v>80.796871502369726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10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8</v>
      </c>
      <c r="D107" t="s">
        <v>77</v>
      </c>
      <c r="E107" t="s">
        <v>74</v>
      </c>
      <c r="F107" t="s">
        <v>71</v>
      </c>
      <c r="G107">
        <v>60</v>
      </c>
      <c r="H107">
        <v>2E+20</v>
      </c>
      <c r="I107">
        <v>60</v>
      </c>
      <c r="J107">
        <v>60</v>
      </c>
      <c r="K107">
        <v>6</v>
      </c>
      <c r="L107" t="str">
        <f>DiscreteStatsTable[[#This Row],[ProjectName]]&amp;DiscreteStatsTable[[#This Row],[Name]]&amp;DiscreteStatsTable[[#This Row],[Type]]&amp;DiscreteStatsTable[[#This Row],[Source]]</f>
        <v>Unnamed ProjectPICTURE_VERDETransfer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10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60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60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60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59.999999999999801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60.000000000000497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8.9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10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8</v>
      </c>
      <c r="D108" t="s">
        <v>77</v>
      </c>
      <c r="E108" t="s">
        <v>75</v>
      </c>
      <c r="F108" t="s">
        <v>71</v>
      </c>
      <c r="G108">
        <v>544.05671889824703</v>
      </c>
      <c r="H108">
        <v>2E+20</v>
      </c>
      <c r="I108">
        <v>457.580194230659</v>
      </c>
      <c r="J108">
        <v>604.002445775909</v>
      </c>
      <c r="K108">
        <v>6</v>
      </c>
      <c r="L108" t="str">
        <f>DiscreteStatsTable[[#This Row],[ProjectName]]&amp;DiscreteStatsTable[[#This Row],[Name]]&amp;DiscreteStatsTable[[#This Row],[Type]]&amp;DiscreteStatsTable[[#This Row],[Source]]</f>
        <v>Unnamed ProjectPICTURE_VERDEVA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10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549.39073712765003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18.451083494018864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13.199110000087735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509.98229231863002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574.24939700941604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432.83863966813101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638.87033632671898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8.9</v>
      </c>
      <c r="W108">
        <f>IF((DiscreteStatsTable[[#This Row],[RepsRequested]]&gt;1),DiscreteStatsTable[[#This Row],[HalfWidth]],DiscreteStatsTable[[#This Row],[BatchMeansHalfWidth]])</f>
        <v>13.199110000087735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10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8</v>
      </c>
      <c r="D109" t="s">
        <v>77</v>
      </c>
      <c r="E109" t="s">
        <v>76</v>
      </c>
      <c r="F109" t="s">
        <v>71</v>
      </c>
      <c r="G109">
        <v>89.514830561986003</v>
      </c>
      <c r="H109">
        <v>2E+20</v>
      </c>
      <c r="I109">
        <v>0</v>
      </c>
      <c r="J109">
        <v>329.79301431591801</v>
      </c>
      <c r="K109">
        <v>6</v>
      </c>
      <c r="L109" t="str">
        <f>DiscreteStatsTable[[#This Row],[ProjectName]]&amp;DiscreteStatsTable[[#This Row],[Name]]&amp;DiscreteStatsTable[[#This Row],[Type]]&amp;DiscreteStatsTable[[#This Row],[Source]]</f>
        <v>Unnamed ProjectPICTURE_VERDEWait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10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233.60978665420402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110.00650223339252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78.693911074334679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89.514830561986003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422.37720377067598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976.52388020276601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8.9</v>
      </c>
      <c r="W109">
        <f>IF((DiscreteStatsTable[[#This Row],[RepsRequested]]&gt;1),DiscreteStatsTable[[#This Row],[HalfWidth]],DiscreteStatsTable[[#This Row],[BatchMeansHalfWidth]])</f>
        <v>78.693911074334679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10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9</v>
      </c>
      <c r="D110" t="s">
        <v>77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14</v>
      </c>
      <c r="L110" t="str">
        <f>DiscreteStatsTable[[#This Row],[ProjectName]]&amp;DiscreteStatsTable[[#This Row],[Name]]&amp;DiscreteStatsTable[[#This Row],[Type]]&amp;DiscreteStatsTable[[#This Row],[Source]]</f>
        <v>Unnamed ProjectPICTURE_VERDENVA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10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8.9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10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9</v>
      </c>
      <c r="D111" t="s">
        <v>77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14</v>
      </c>
      <c r="L111" t="str">
        <f>DiscreteStatsTable[[#This Row],[ProjectName]]&amp;DiscreteStatsTable[[#This Row],[Name]]&amp;DiscreteStatsTable[[#This Row],[Type]]&amp;DiscreteStatsTable[[#This Row],[Source]]</f>
        <v>Unnamed ProjectPICTURE_VERDEOther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10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8.9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10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9</v>
      </c>
      <c r="D112" t="s">
        <v>77</v>
      </c>
      <c r="E112" t="s">
        <v>73</v>
      </c>
      <c r="F112" t="s">
        <v>71</v>
      </c>
      <c r="G112">
        <v>1028.16400120407</v>
      </c>
      <c r="H112">
        <v>2E+20</v>
      </c>
      <c r="I112">
        <v>624.07396963456597</v>
      </c>
      <c r="J112">
        <v>1511.4787978939</v>
      </c>
      <c r="K112">
        <v>14</v>
      </c>
      <c r="L112" t="str">
        <f>DiscreteStatsTable[[#This Row],[ProjectName]]&amp;DiscreteStatsTable[[#This Row],[Name]]&amp;DiscreteStatsTable[[#This Row],[Type]]&amp;DiscreteStatsTable[[#This Row],[Source]]</f>
        <v>Unnamed ProjectPICTURE_VERDETotal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10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843.00052378185433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112.94623820362342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80.796871502369726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693.57154946023297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1028.16400120407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526.77529154307194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1511.4787978939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8.9</v>
      </c>
      <c r="W112">
        <f>IF((DiscreteStatsTable[[#This Row],[RepsRequested]]&gt;1),DiscreteStatsTable[[#This Row],[HalfWidth]],DiscreteStatsTable[[#This Row],[BatchMeansHalfWidth]])</f>
        <v>80.796871502369726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10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9</v>
      </c>
      <c r="D113" t="s">
        <v>77</v>
      </c>
      <c r="E113" t="s">
        <v>74</v>
      </c>
      <c r="F113" t="s">
        <v>71</v>
      </c>
      <c r="G113">
        <v>60</v>
      </c>
      <c r="H113">
        <v>2E+20</v>
      </c>
      <c r="I113">
        <v>60</v>
      </c>
      <c r="J113">
        <v>60</v>
      </c>
      <c r="K113">
        <v>14</v>
      </c>
      <c r="L113" t="str">
        <f>DiscreteStatsTable[[#This Row],[ProjectName]]&amp;DiscreteStatsTable[[#This Row],[Name]]&amp;DiscreteStatsTable[[#This Row],[Type]]&amp;DiscreteStatsTable[[#This Row],[Source]]</f>
        <v>Unnamed ProjectPICTURE_VERDETransfer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10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60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60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60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59.999999999999801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60.000000000000497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8.9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10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9</v>
      </c>
      <c r="D114" t="s">
        <v>77</v>
      </c>
      <c r="E114" t="s">
        <v>75</v>
      </c>
      <c r="F114" t="s">
        <v>71</v>
      </c>
      <c r="G114">
        <v>545.78679743339103</v>
      </c>
      <c r="H114">
        <v>2E+20</v>
      </c>
      <c r="I114">
        <v>474.95491769113403</v>
      </c>
      <c r="J114">
        <v>611.98684984656904</v>
      </c>
      <c r="K114">
        <v>14</v>
      </c>
      <c r="L114" t="str">
        <f>DiscreteStatsTable[[#This Row],[ProjectName]]&amp;DiscreteStatsTable[[#This Row],[Name]]&amp;DiscreteStatsTable[[#This Row],[Type]]&amp;DiscreteStatsTable[[#This Row],[Source]]</f>
        <v>Unnamed ProjectPICTURE_VERDEVA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10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549.39073712765003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18.451083494018864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13.199110000087735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509.98229231863002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574.24939700941604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432.83863966813101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638.87033632671898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8.9</v>
      </c>
      <c r="W114">
        <f>IF((DiscreteStatsTable[[#This Row],[RepsRequested]]&gt;1),DiscreteStatsTable[[#This Row],[HalfWidth]],DiscreteStatsTable[[#This Row],[BatchMeansHalfWidth]])</f>
        <v>13.199110000087735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10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9</v>
      </c>
      <c r="D115" t="s">
        <v>77</v>
      </c>
      <c r="E115" t="s">
        <v>76</v>
      </c>
      <c r="F115" t="s">
        <v>71</v>
      </c>
      <c r="G115">
        <v>422.37720377067598</v>
      </c>
      <c r="H115">
        <v>2E+20</v>
      </c>
      <c r="I115">
        <v>0</v>
      </c>
      <c r="J115">
        <v>976.52388020276601</v>
      </c>
      <c r="K115">
        <v>14</v>
      </c>
      <c r="L115" t="str">
        <f>DiscreteStatsTable[[#This Row],[ProjectName]]&amp;DiscreteStatsTable[[#This Row],[Name]]&amp;DiscreteStatsTable[[#This Row],[Type]]&amp;DiscreteStatsTable[[#This Row],[Source]]</f>
        <v>Unnamed ProjectPICTURE_VERDEWait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10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233.60978665420402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110.00650223339252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78.693911074334679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89.514830561986003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422.37720377067598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976.52388020276601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8.9</v>
      </c>
      <c r="W115">
        <f>IF((DiscreteStatsTable[[#This Row],[RepsRequested]]&gt;1),DiscreteStatsTable[[#This Row],[HalfWidth]],DiscreteStatsTable[[#This Row],[BatchMeansHalfWidth]])</f>
        <v>78.693911074334679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10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10</v>
      </c>
      <c r="D116" t="s">
        <v>77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8</v>
      </c>
      <c r="L116" t="str">
        <f>DiscreteStatsTable[[#This Row],[ProjectName]]&amp;DiscreteStatsTable[[#This Row],[Name]]&amp;DiscreteStatsTable[[#This Row],[Type]]&amp;DiscreteStatsTable[[#This Row],[Source]]</f>
        <v>Unnamed ProjectPICTURE_VERDENVA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10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8.9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10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10</v>
      </c>
      <c r="D117" t="s">
        <v>77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8</v>
      </c>
      <c r="L117" t="str">
        <f>DiscreteStatsTable[[#This Row],[ProjectName]]&amp;DiscreteStatsTable[[#This Row],[Name]]&amp;DiscreteStatsTable[[#This Row],[Type]]&amp;DiscreteStatsTable[[#This Row],[Source]]</f>
        <v>Unnamed ProjectPICTURE_VERDEOther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10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8.9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10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10</v>
      </c>
      <c r="D118" t="s">
        <v>77</v>
      </c>
      <c r="E118" t="s">
        <v>73</v>
      </c>
      <c r="F118" t="s">
        <v>71</v>
      </c>
      <c r="G118">
        <v>879.23705075955195</v>
      </c>
      <c r="H118">
        <v>2E+20</v>
      </c>
      <c r="I118">
        <v>526.77529154307194</v>
      </c>
      <c r="J118">
        <v>1364.2889031939001</v>
      </c>
      <c r="K118">
        <v>8</v>
      </c>
      <c r="L118" t="str">
        <f>DiscreteStatsTable[[#This Row],[ProjectName]]&amp;DiscreteStatsTable[[#This Row],[Name]]&amp;DiscreteStatsTable[[#This Row],[Type]]&amp;DiscreteStatsTable[[#This Row],[Source]]</f>
        <v>Unnamed ProjectPICTURE_VERDETotal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10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843.00052378185433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112.94623820362342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80.796871502369726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693.57154946023297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1028.16400120407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526.77529154307194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1511.4787978939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8.9</v>
      </c>
      <c r="W118">
        <f>IF((DiscreteStatsTable[[#This Row],[RepsRequested]]&gt;1),DiscreteStatsTable[[#This Row],[HalfWidth]],DiscreteStatsTable[[#This Row],[BatchMeansHalfWidth]])</f>
        <v>80.796871502369726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10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10</v>
      </c>
      <c r="D119" t="s">
        <v>77</v>
      </c>
      <c r="E119" t="s">
        <v>74</v>
      </c>
      <c r="F119" t="s">
        <v>71</v>
      </c>
      <c r="G119">
        <v>60</v>
      </c>
      <c r="H119">
        <v>2E+20</v>
      </c>
      <c r="I119">
        <v>60</v>
      </c>
      <c r="J119">
        <v>60</v>
      </c>
      <c r="K119">
        <v>8</v>
      </c>
      <c r="L119" t="str">
        <f>DiscreteStatsTable[[#This Row],[ProjectName]]&amp;DiscreteStatsTable[[#This Row],[Name]]&amp;DiscreteStatsTable[[#This Row],[Type]]&amp;DiscreteStatsTable[[#This Row],[Source]]</f>
        <v>Unnamed ProjectPICTURE_VERDETransfer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10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60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60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60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59.999999999999801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60.000000000000497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8.9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10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10</v>
      </c>
      <c r="D120" t="s">
        <v>77</v>
      </c>
      <c r="E120" t="s">
        <v>75</v>
      </c>
      <c r="F120" t="s">
        <v>71</v>
      </c>
      <c r="G120">
        <v>539.65639933242505</v>
      </c>
      <c r="H120">
        <v>2E+20</v>
      </c>
      <c r="I120">
        <v>432.83863966813101</v>
      </c>
      <c r="J120">
        <v>621.43594885022299</v>
      </c>
      <c r="K120">
        <v>8</v>
      </c>
      <c r="L120" t="str">
        <f>DiscreteStatsTable[[#This Row],[ProjectName]]&amp;DiscreteStatsTable[[#This Row],[Name]]&amp;DiscreteStatsTable[[#This Row],[Type]]&amp;DiscreteStatsTable[[#This Row],[Source]]</f>
        <v>Unnamed ProjectPICTURE_VERDEVA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10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549.39073712765003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18.451083494018864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13.199110000087735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509.98229231863002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574.24939700941604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432.83863966813101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638.87033632671898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8.9</v>
      </c>
      <c r="W120">
        <f>IF((DiscreteStatsTable[[#This Row],[RepsRequested]]&gt;1),DiscreteStatsTable[[#This Row],[HalfWidth]],DiscreteStatsTable[[#This Row],[BatchMeansHalfWidth]])</f>
        <v>13.199110000087735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10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10</v>
      </c>
      <c r="D121" t="s">
        <v>77</v>
      </c>
      <c r="E121" t="s">
        <v>76</v>
      </c>
      <c r="F121" t="s">
        <v>71</v>
      </c>
      <c r="G121">
        <v>279.58065142712798</v>
      </c>
      <c r="H121">
        <v>2E+20</v>
      </c>
      <c r="I121">
        <v>0</v>
      </c>
      <c r="J121">
        <v>755.13430474077802</v>
      </c>
      <c r="K121">
        <v>8</v>
      </c>
      <c r="L121" t="str">
        <f>DiscreteStatsTable[[#This Row],[ProjectName]]&amp;DiscreteStatsTable[[#This Row],[Name]]&amp;DiscreteStatsTable[[#This Row],[Type]]&amp;DiscreteStatsTable[[#This Row],[Source]]</f>
        <v>Unnamed ProjectPICTURE_VERDEWait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10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233.60978665420402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110.00650223339252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78.693911074334679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89.514830561986003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422.37720377067598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976.52388020276601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8.9</v>
      </c>
      <c r="W121">
        <f>IF((DiscreteStatsTable[[#This Row],[RepsRequested]]&gt;1),DiscreteStatsTable[[#This Row],[HalfWidth]],DiscreteStatsTable[[#This Row],[BatchMeansHalfWidth]])</f>
        <v>78.693911074334679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10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1</v>
      </c>
      <c r="D122" t="s">
        <v>78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3</v>
      </c>
      <c r="L122" s="5" t="str">
        <f>DiscreteStatsTable[[#This Row],[ProjectName]]&amp;DiscreteStatsTable[[#This Row],[Name]]&amp;DiscreteStatsTable[[#This Row],[Type]]&amp;DiscreteStatsTable[[#This Row],[Source]]</f>
        <v>Unnamed ProjectPICTURE_VERMELHONVA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10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3.6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10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1</v>
      </c>
      <c r="D123" t="s">
        <v>78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3</v>
      </c>
      <c r="L123" s="5" t="str">
        <f>DiscreteStatsTable[[#This Row],[ProjectName]]&amp;DiscreteStatsTable[[#This Row],[Name]]&amp;DiscreteStatsTable[[#This Row],[Type]]&amp;DiscreteStatsTable[[#This Row],[Source]]</f>
        <v>Unnamed ProjectPICTURE_VERMELHOOther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10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3.6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10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1</v>
      </c>
      <c r="D124" t="s">
        <v>78</v>
      </c>
      <c r="E124" t="s">
        <v>73</v>
      </c>
      <c r="F124" t="s">
        <v>71</v>
      </c>
      <c r="G124">
        <v>1345.4106861661501</v>
      </c>
      <c r="H124">
        <v>2E+20</v>
      </c>
      <c r="I124">
        <v>1050.1990454705599</v>
      </c>
      <c r="J124">
        <v>1769.6688837239999</v>
      </c>
      <c r="K124">
        <v>3</v>
      </c>
      <c r="L124" s="5" t="str">
        <f>DiscreteStatsTable[[#This Row],[ProjectName]]&amp;DiscreteStatsTable[[#This Row],[Name]]&amp;DiscreteStatsTable[[#This Row],[Type]]&amp;DiscreteStatsTable[[#This Row],[Source]]</f>
        <v>Unnamed ProjectPICTURE_VERMELHOTotal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10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1596.674794200479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360.17109292347374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257.65087865380895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1294.7038939982201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2480.9683265646399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883.654167763744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2891.9175620544302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3.6</v>
      </c>
      <c r="W124" s="5">
        <f>IF((DiscreteStatsTable[[#This Row],[RepsRequested]]&gt;1),DiscreteStatsTable[[#This Row],[HalfWidth]],DiscreteStatsTable[[#This Row],[BatchMeansHalfWidth]])</f>
        <v>257.65087865380895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10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1</v>
      </c>
      <c r="D125" t="s">
        <v>78</v>
      </c>
      <c r="E125" t="s">
        <v>74</v>
      </c>
      <c r="F125" t="s">
        <v>71</v>
      </c>
      <c r="G125">
        <v>80</v>
      </c>
      <c r="H125">
        <v>2E+20</v>
      </c>
      <c r="I125">
        <v>80</v>
      </c>
      <c r="J125">
        <v>80</v>
      </c>
      <c r="K125">
        <v>3</v>
      </c>
      <c r="L125" s="5" t="str">
        <f>DiscreteStatsTable[[#This Row],[ProjectName]]&amp;DiscreteStatsTable[[#This Row],[Name]]&amp;DiscreteStatsTable[[#This Row],[Type]]&amp;DiscreteStatsTable[[#This Row],[Source]]</f>
        <v>Unnamed ProjectPICTURE_VERMELHOTransfer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10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80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80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80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80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80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3.6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10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1</v>
      </c>
      <c r="D126" t="s">
        <v>78</v>
      </c>
      <c r="E126" t="s">
        <v>75</v>
      </c>
      <c r="F126" t="s">
        <v>71</v>
      </c>
      <c r="G126">
        <v>912.78041487591895</v>
      </c>
      <c r="H126">
        <v>2E+20</v>
      </c>
      <c r="I126">
        <v>875.11273823995703</v>
      </c>
      <c r="J126">
        <v>966.62594297369196</v>
      </c>
      <c r="K126">
        <v>3</v>
      </c>
      <c r="L126" s="5" t="str">
        <f>DiscreteStatsTable[[#This Row],[ProjectName]]&amp;DiscreteStatsTable[[#This Row],[Name]]&amp;DiscreteStatsTable[[#This Row],[Type]]&amp;DiscreteStatsTable[[#This Row],[Source]]</f>
        <v>Unnamed ProjectPICTURE_VERMELHOVA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10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917.06048186514431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31.188932790635697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22.311218461636159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852.00003268033299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968.47809802756694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738.93909107327204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1040.57425091456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3.6</v>
      </c>
      <c r="W126" s="5">
        <f>IF((DiscreteStatsTable[[#This Row],[RepsRequested]]&gt;1),DiscreteStatsTable[[#This Row],[HalfWidth]],DiscreteStatsTable[[#This Row],[BatchMeansHalfWidth]])</f>
        <v>22.311218461636159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10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1</v>
      </c>
      <c r="D127" t="s">
        <v>78</v>
      </c>
      <c r="E127" t="s">
        <v>76</v>
      </c>
      <c r="F127" t="s">
        <v>71</v>
      </c>
      <c r="G127">
        <v>352.63027129023499</v>
      </c>
      <c r="H127">
        <v>2E+20</v>
      </c>
      <c r="I127">
        <v>73.596482056456793</v>
      </c>
      <c r="J127">
        <v>723.04294075030396</v>
      </c>
      <c r="K127">
        <v>3</v>
      </c>
      <c r="L127" s="5" t="str">
        <f>DiscreteStatsTable[[#This Row],[ProjectName]]&amp;DiscreteStatsTable[[#This Row],[Name]]&amp;DiscreteStatsTable[[#This Row],[Type]]&amp;DiscreteStatsTable[[#This Row],[Source]]</f>
        <v>Unnamed ProjectPICTURE_VERMELHOWait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10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599.61431233533438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359.58620743786923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257.23247678247975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285.81528231910198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1469.04982981227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1980.50467332738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3.6</v>
      </c>
      <c r="W127" s="5">
        <f>IF((DiscreteStatsTable[[#This Row],[RepsRequested]]&gt;1),DiscreteStatsTable[[#This Row],[HalfWidth]],DiscreteStatsTable[[#This Row],[BatchMeansHalfWidth]])</f>
        <v>257.23247678247975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10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</v>
      </c>
      <c r="D128" t="s">
        <v>78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5</v>
      </c>
      <c r="L128" s="5" t="str">
        <f>DiscreteStatsTable[[#This Row],[ProjectName]]&amp;DiscreteStatsTable[[#This Row],[Name]]&amp;DiscreteStatsTable[[#This Row],[Type]]&amp;DiscreteStatsTable[[#This Row],[Source]]</f>
        <v>Unnamed ProjectPICTURE_VERMELHONVA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10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3.6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10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</v>
      </c>
      <c r="D129" t="s">
        <v>78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5</v>
      </c>
      <c r="L129" s="5" t="str">
        <f>DiscreteStatsTable[[#This Row],[ProjectName]]&amp;DiscreteStatsTable[[#This Row],[Name]]&amp;DiscreteStatsTable[[#This Row],[Type]]&amp;DiscreteStatsTable[[#This Row],[Source]]</f>
        <v>Unnamed ProjectPICTURE_VERMELHOOther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10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3.6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10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</v>
      </c>
      <c r="D130" t="s">
        <v>78</v>
      </c>
      <c r="E130" t="s">
        <v>73</v>
      </c>
      <c r="F130" t="s">
        <v>71</v>
      </c>
      <c r="G130">
        <v>1767.7178719563201</v>
      </c>
      <c r="H130">
        <v>2E+20</v>
      </c>
      <c r="I130">
        <v>1541.8145491021801</v>
      </c>
      <c r="J130">
        <v>2125.4846768063098</v>
      </c>
      <c r="K130">
        <v>5</v>
      </c>
      <c r="L130" s="5" t="str">
        <f>DiscreteStatsTable[[#This Row],[ProjectName]]&amp;DiscreteStatsTable[[#This Row],[Name]]&amp;DiscreteStatsTable[[#This Row],[Type]]&amp;DiscreteStatsTable[[#This Row],[Source]]</f>
        <v>Unnamed ProjectPICTURE_VERMELHOTotal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10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1596.674794200479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360.17109292347374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257.65087865380895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1294.7038939982201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2480.9683265646399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883.654167763744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2891.9175620544302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3.6</v>
      </c>
      <c r="W130" s="5">
        <f>IF((DiscreteStatsTable[[#This Row],[RepsRequested]]&gt;1),DiscreteStatsTable[[#This Row],[HalfWidth]],DiscreteStatsTable[[#This Row],[BatchMeansHalfWidth]])</f>
        <v>257.65087865380895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10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</v>
      </c>
      <c r="D131" t="s">
        <v>78</v>
      </c>
      <c r="E131" t="s">
        <v>74</v>
      </c>
      <c r="F131" t="s">
        <v>71</v>
      </c>
      <c r="G131">
        <v>80</v>
      </c>
      <c r="H131">
        <v>2E+20</v>
      </c>
      <c r="I131">
        <v>80</v>
      </c>
      <c r="J131">
        <v>80</v>
      </c>
      <c r="K131">
        <v>5</v>
      </c>
      <c r="L131" s="5" t="str">
        <f>DiscreteStatsTable[[#This Row],[ProjectName]]&amp;DiscreteStatsTable[[#This Row],[Name]]&amp;DiscreteStatsTable[[#This Row],[Type]]&amp;DiscreteStatsTable[[#This Row],[Source]]</f>
        <v>Unnamed ProjectPICTURE_VERMELHOTransfer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10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80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80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80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80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80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3.6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10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</v>
      </c>
      <c r="D132" t="s">
        <v>78</v>
      </c>
      <c r="E132" t="s">
        <v>75</v>
      </c>
      <c r="F132" t="s">
        <v>71</v>
      </c>
      <c r="G132">
        <v>920.60212359496904</v>
      </c>
      <c r="H132">
        <v>2E+20</v>
      </c>
      <c r="I132">
        <v>836.68950867658805</v>
      </c>
      <c r="J132">
        <v>972.00021931670904</v>
      </c>
      <c r="K132">
        <v>5</v>
      </c>
      <c r="L132" s="5" t="str">
        <f>DiscreteStatsTable[[#This Row],[ProjectName]]&amp;DiscreteStatsTable[[#This Row],[Name]]&amp;DiscreteStatsTable[[#This Row],[Type]]&amp;DiscreteStatsTable[[#This Row],[Source]]</f>
        <v>Unnamed ProjectPICTURE_VERMELHOVA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10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917.06048186514431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31.188932790635697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22.311218461636159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852.00003268033299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968.47809802756694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738.93909107327204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1040.57425091456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3.6</v>
      </c>
      <c r="W132" s="5">
        <f>IF((DiscreteStatsTable[[#This Row],[RepsRequested]]&gt;1),DiscreteStatsTable[[#This Row],[HalfWidth]],DiscreteStatsTable[[#This Row],[BatchMeansHalfWidth]])</f>
        <v>22.311218461636159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10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</v>
      </c>
      <c r="D133" t="s">
        <v>78</v>
      </c>
      <c r="E133" t="s">
        <v>76</v>
      </c>
      <c r="F133" t="s">
        <v>71</v>
      </c>
      <c r="G133">
        <v>767.11574836134901</v>
      </c>
      <c r="H133">
        <v>2E+20</v>
      </c>
      <c r="I133">
        <v>509.454711923057</v>
      </c>
      <c r="J133">
        <v>1073.4844574895999</v>
      </c>
      <c r="K133">
        <v>5</v>
      </c>
      <c r="L133" s="5" t="str">
        <f>DiscreteStatsTable[[#This Row],[ProjectName]]&amp;DiscreteStatsTable[[#This Row],[Name]]&amp;DiscreteStatsTable[[#This Row],[Type]]&amp;DiscreteStatsTable[[#This Row],[Source]]</f>
        <v>Unnamed ProjectPICTURE_VERMELHOWait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10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599.61431233533438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359.58620743786923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257.23247678247975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285.81528231910198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1469.04982981227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1980.50467332738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3.6</v>
      </c>
      <c r="W133" s="5">
        <f>IF((DiscreteStatsTable[[#This Row],[RepsRequested]]&gt;1),DiscreteStatsTable[[#This Row],[HalfWidth]],DiscreteStatsTable[[#This Row],[BatchMeansHalfWidth]])</f>
        <v>257.23247678247975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10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3</v>
      </c>
      <c r="D134" t="s">
        <v>78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4</v>
      </c>
      <c r="L134" s="5" t="str">
        <f>DiscreteStatsTable[[#This Row],[ProjectName]]&amp;DiscreteStatsTable[[#This Row],[Name]]&amp;DiscreteStatsTable[[#This Row],[Type]]&amp;DiscreteStatsTable[[#This Row],[Source]]</f>
        <v>Unnamed ProjectPICTURE_VERMELHONVA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10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3.6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10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3</v>
      </c>
      <c r="D135" t="s">
        <v>78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4</v>
      </c>
      <c r="L135" s="5" t="str">
        <f>DiscreteStatsTable[[#This Row],[ProjectName]]&amp;DiscreteStatsTable[[#This Row],[Name]]&amp;DiscreteStatsTable[[#This Row],[Type]]&amp;DiscreteStatsTable[[#This Row],[Source]]</f>
        <v>Unnamed ProjectPICTURE_VERMELHOOther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10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3.6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10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3</v>
      </c>
      <c r="D136" t="s">
        <v>78</v>
      </c>
      <c r="E136" t="s">
        <v>73</v>
      </c>
      <c r="F136" t="s">
        <v>71</v>
      </c>
      <c r="G136">
        <v>2480.9683265646399</v>
      </c>
      <c r="H136">
        <v>2E+20</v>
      </c>
      <c r="I136">
        <v>1943.9812521398301</v>
      </c>
      <c r="J136">
        <v>2891.9175620544302</v>
      </c>
      <c r="K136">
        <v>4</v>
      </c>
      <c r="L136" s="5" t="str">
        <f>DiscreteStatsTable[[#This Row],[ProjectName]]&amp;DiscreteStatsTable[[#This Row],[Name]]&amp;DiscreteStatsTable[[#This Row],[Type]]&amp;DiscreteStatsTable[[#This Row],[Source]]</f>
        <v>Unnamed ProjectPICTURE_VERMELHOTotal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10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1596.674794200479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360.17109292347374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257.65087865380895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1294.7038939982201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2480.9683265646399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883.654167763744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2891.9175620544302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3.6</v>
      </c>
      <c r="W136" s="5">
        <f>IF((DiscreteStatsTable[[#This Row],[RepsRequested]]&gt;1),DiscreteStatsTable[[#This Row],[HalfWidth]],DiscreteStatsTable[[#This Row],[BatchMeansHalfWidth]])</f>
        <v>257.65087865380895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10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3</v>
      </c>
      <c r="D137" t="s">
        <v>78</v>
      </c>
      <c r="E137" t="s">
        <v>74</v>
      </c>
      <c r="F137" t="s">
        <v>71</v>
      </c>
      <c r="G137">
        <v>80</v>
      </c>
      <c r="H137">
        <v>2E+20</v>
      </c>
      <c r="I137">
        <v>80</v>
      </c>
      <c r="J137">
        <v>80</v>
      </c>
      <c r="K137">
        <v>4</v>
      </c>
      <c r="L137" s="5" t="str">
        <f>DiscreteStatsTable[[#This Row],[ProjectName]]&amp;DiscreteStatsTable[[#This Row],[Name]]&amp;DiscreteStatsTable[[#This Row],[Type]]&amp;DiscreteStatsTable[[#This Row],[Source]]</f>
        <v>Unnamed ProjectPICTURE_VERMELHOTransfer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10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80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80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80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80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80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3.6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10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3</v>
      </c>
      <c r="D138" t="s">
        <v>78</v>
      </c>
      <c r="E138" t="s">
        <v>75</v>
      </c>
      <c r="F138" t="s">
        <v>71</v>
      </c>
      <c r="G138">
        <v>931.91849675237302</v>
      </c>
      <c r="H138">
        <v>2E+20</v>
      </c>
      <c r="I138">
        <v>831.41288872705104</v>
      </c>
      <c r="J138">
        <v>989.27927938580206</v>
      </c>
      <c r="K138">
        <v>4</v>
      </c>
      <c r="L138" s="5" t="str">
        <f>DiscreteStatsTable[[#This Row],[ProjectName]]&amp;DiscreteStatsTable[[#This Row],[Name]]&amp;DiscreteStatsTable[[#This Row],[Type]]&amp;DiscreteStatsTable[[#This Row],[Source]]</f>
        <v>Unnamed ProjectPICTURE_VERMELHOVA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10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917.06048186514431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31.188932790635697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22.311218461636159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852.00003268033299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968.47809802756694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738.93909107327204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1040.57425091456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3.6</v>
      </c>
      <c r="W138" s="5">
        <f>IF((DiscreteStatsTable[[#This Row],[RepsRequested]]&gt;1),DiscreteStatsTable[[#This Row],[HalfWidth]],DiscreteStatsTable[[#This Row],[BatchMeansHalfWidth]])</f>
        <v>22.311218461636159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10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3</v>
      </c>
      <c r="D139" t="s">
        <v>78</v>
      </c>
      <c r="E139" t="s">
        <v>76</v>
      </c>
      <c r="F139" t="s">
        <v>71</v>
      </c>
      <c r="G139">
        <v>1469.04982981227</v>
      </c>
      <c r="H139">
        <v>2E+20</v>
      </c>
      <c r="I139">
        <v>927.53967872845203</v>
      </c>
      <c r="J139">
        <v>1980.50467332738</v>
      </c>
      <c r="K139">
        <v>4</v>
      </c>
      <c r="L139" s="5" t="str">
        <f>DiscreteStatsTable[[#This Row],[ProjectName]]&amp;DiscreteStatsTable[[#This Row],[Name]]&amp;DiscreteStatsTable[[#This Row],[Type]]&amp;DiscreteStatsTable[[#This Row],[Source]]</f>
        <v>Unnamed ProjectPICTURE_VERMELHOWait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10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599.61431233533438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359.58620743786923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257.23247678247975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285.81528231910198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1469.04982981227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1980.50467332738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3.6</v>
      </c>
      <c r="W139" s="5">
        <f>IF((DiscreteStatsTable[[#This Row],[RepsRequested]]&gt;1),DiscreteStatsTable[[#This Row],[HalfWidth]],DiscreteStatsTable[[#This Row],[BatchMeansHalfWidth]])</f>
        <v>257.23247678247975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10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4</v>
      </c>
      <c r="D140" t="s">
        <v>78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3</v>
      </c>
      <c r="L140" s="5" t="str">
        <f>DiscreteStatsTable[[#This Row],[ProjectName]]&amp;DiscreteStatsTable[[#This Row],[Name]]&amp;DiscreteStatsTable[[#This Row],[Type]]&amp;DiscreteStatsTable[[#This Row],[Source]]</f>
        <v>Unnamed ProjectPICTURE_VERMELHONVA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10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3.6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10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4</v>
      </c>
      <c r="D141" t="s">
        <v>78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3</v>
      </c>
      <c r="L141" s="5" t="str">
        <f>DiscreteStatsTable[[#This Row],[ProjectName]]&amp;DiscreteStatsTable[[#This Row],[Name]]&amp;DiscreteStatsTable[[#This Row],[Type]]&amp;DiscreteStatsTable[[#This Row],[Source]]</f>
        <v>Unnamed ProjectPICTURE_VERMELHOOther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10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3.6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10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4</v>
      </c>
      <c r="D142" t="s">
        <v>78</v>
      </c>
      <c r="E142" t="s">
        <v>73</v>
      </c>
      <c r="F142" t="s">
        <v>71</v>
      </c>
      <c r="G142">
        <v>1350.1894640134501</v>
      </c>
      <c r="H142">
        <v>2E+20</v>
      </c>
      <c r="I142">
        <v>1211.93699106997</v>
      </c>
      <c r="J142">
        <v>1564.1763715050199</v>
      </c>
      <c r="K142">
        <v>3</v>
      </c>
      <c r="L142" s="5" t="str">
        <f>DiscreteStatsTable[[#This Row],[ProjectName]]&amp;DiscreteStatsTable[[#This Row],[Name]]&amp;DiscreteStatsTable[[#This Row],[Type]]&amp;DiscreteStatsTable[[#This Row],[Source]]</f>
        <v>Unnamed ProjectPICTURE_VERMELHOTotal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10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1596.674794200479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360.17109292347374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257.65087865380895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1294.7038939982201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2480.9683265646399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883.654167763744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2891.9175620544302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3.6</v>
      </c>
      <c r="W142" s="5">
        <f>IF((DiscreteStatsTable[[#This Row],[RepsRequested]]&gt;1),DiscreteStatsTable[[#This Row],[HalfWidth]],DiscreteStatsTable[[#This Row],[BatchMeansHalfWidth]])</f>
        <v>257.65087865380895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10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4</v>
      </c>
      <c r="D143" t="s">
        <v>78</v>
      </c>
      <c r="E143" t="s">
        <v>74</v>
      </c>
      <c r="F143" t="s">
        <v>71</v>
      </c>
      <c r="G143">
        <v>80</v>
      </c>
      <c r="H143">
        <v>2E+20</v>
      </c>
      <c r="I143">
        <v>80</v>
      </c>
      <c r="J143">
        <v>80</v>
      </c>
      <c r="K143">
        <v>3</v>
      </c>
      <c r="L143" s="5" t="str">
        <f>DiscreteStatsTable[[#This Row],[ProjectName]]&amp;DiscreteStatsTable[[#This Row],[Name]]&amp;DiscreteStatsTable[[#This Row],[Type]]&amp;DiscreteStatsTable[[#This Row],[Source]]</f>
        <v>Unnamed ProjectPICTURE_VERMELHOTransfer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10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80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80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80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80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80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3.6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10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4</v>
      </c>
      <c r="D144" t="s">
        <v>78</v>
      </c>
      <c r="E144" t="s">
        <v>75</v>
      </c>
      <c r="F144" t="s">
        <v>71</v>
      </c>
      <c r="G144">
        <v>968.47809802756694</v>
      </c>
      <c r="H144">
        <v>2E+20</v>
      </c>
      <c r="I144">
        <v>891.28223749323104</v>
      </c>
      <c r="J144">
        <v>1033.8144697026901</v>
      </c>
      <c r="K144">
        <v>3</v>
      </c>
      <c r="L144" s="5" t="str">
        <f>DiscreteStatsTable[[#This Row],[ProjectName]]&amp;DiscreteStatsTable[[#This Row],[Name]]&amp;DiscreteStatsTable[[#This Row],[Type]]&amp;DiscreteStatsTable[[#This Row],[Source]]</f>
        <v>Unnamed ProjectPICTURE_VERMELHOVA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10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917.06048186514431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31.188932790635697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22.311218461636159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852.00003268033299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968.47809802756694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738.93909107327204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1040.57425091456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3.6</v>
      </c>
      <c r="W144" s="5">
        <f>IF((DiscreteStatsTable[[#This Row],[RepsRequested]]&gt;1),DiscreteStatsTable[[#This Row],[HalfWidth]],DiscreteStatsTable[[#This Row],[BatchMeansHalfWidth]])</f>
        <v>22.311218461636159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10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4</v>
      </c>
      <c r="D145" t="s">
        <v>78</v>
      </c>
      <c r="E145" t="s">
        <v>76</v>
      </c>
      <c r="F145" t="s">
        <v>71</v>
      </c>
      <c r="G145">
        <v>301.71136598588703</v>
      </c>
      <c r="H145">
        <v>2E+20</v>
      </c>
      <c r="I145">
        <v>151.599404183188</v>
      </c>
      <c r="J145">
        <v>592.89413401178501</v>
      </c>
      <c r="K145">
        <v>3</v>
      </c>
      <c r="L145" s="5" t="str">
        <f>DiscreteStatsTable[[#This Row],[ProjectName]]&amp;DiscreteStatsTable[[#This Row],[Name]]&amp;DiscreteStatsTable[[#This Row],[Type]]&amp;DiscreteStatsTable[[#This Row],[Source]]</f>
        <v>Unnamed ProjectPICTURE_VERMELHOWait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10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599.61431233533438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359.58620743786923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257.23247678247975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285.81528231910198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1469.04982981227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1980.50467332738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3.6</v>
      </c>
      <c r="W145" s="5">
        <f>IF((DiscreteStatsTable[[#This Row],[RepsRequested]]&gt;1),DiscreteStatsTable[[#This Row],[HalfWidth]],DiscreteStatsTable[[#This Row],[BatchMeansHalfWidth]])</f>
        <v>257.23247678247975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10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5</v>
      </c>
      <c r="D146" t="s">
        <v>78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5</v>
      </c>
      <c r="L146" s="5" t="str">
        <f>DiscreteStatsTable[[#This Row],[ProjectName]]&amp;DiscreteStatsTable[[#This Row],[Name]]&amp;DiscreteStatsTable[[#This Row],[Type]]&amp;DiscreteStatsTable[[#This Row],[Source]]</f>
        <v>Unnamed ProjectPICTURE_VERMELHONVA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10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3.6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10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5</v>
      </c>
      <c r="D147" t="s">
        <v>78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5</v>
      </c>
      <c r="L147" s="5" t="str">
        <f>DiscreteStatsTable[[#This Row],[ProjectName]]&amp;DiscreteStatsTable[[#This Row],[Name]]&amp;DiscreteStatsTable[[#This Row],[Type]]&amp;DiscreteStatsTable[[#This Row],[Source]]</f>
        <v>Unnamed ProjectPICTURE_VERMELHOOther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10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3.6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10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5</v>
      </c>
      <c r="D148" t="s">
        <v>78</v>
      </c>
      <c r="E148" t="s">
        <v>73</v>
      </c>
      <c r="F148" t="s">
        <v>71</v>
      </c>
      <c r="G148">
        <v>1733.4572227613501</v>
      </c>
      <c r="H148">
        <v>2E+20</v>
      </c>
      <c r="I148">
        <v>1104.4351142001101</v>
      </c>
      <c r="J148">
        <v>2434.4721193539099</v>
      </c>
      <c r="K148">
        <v>5</v>
      </c>
      <c r="L148" s="5" t="str">
        <f>DiscreteStatsTable[[#This Row],[ProjectName]]&amp;DiscreteStatsTable[[#This Row],[Name]]&amp;DiscreteStatsTable[[#This Row],[Type]]&amp;DiscreteStatsTable[[#This Row],[Source]]</f>
        <v>Unnamed ProjectPICTURE_VERMELHOTotal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10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1596.674794200479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360.17109292347374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257.65087865380895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1294.7038939982201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2480.9683265646399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883.654167763744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2891.9175620544302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3.6</v>
      </c>
      <c r="W148" s="5">
        <f>IF((DiscreteStatsTable[[#This Row],[RepsRequested]]&gt;1),DiscreteStatsTable[[#This Row],[HalfWidth]],DiscreteStatsTable[[#This Row],[BatchMeansHalfWidth]])</f>
        <v>257.65087865380895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10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5</v>
      </c>
      <c r="D149" t="s">
        <v>78</v>
      </c>
      <c r="E149" t="s">
        <v>74</v>
      </c>
      <c r="F149" t="s">
        <v>71</v>
      </c>
      <c r="G149">
        <v>80</v>
      </c>
      <c r="H149">
        <v>2E+20</v>
      </c>
      <c r="I149">
        <v>80</v>
      </c>
      <c r="J149">
        <v>80</v>
      </c>
      <c r="K149">
        <v>5</v>
      </c>
      <c r="L149" s="5" t="str">
        <f>DiscreteStatsTable[[#This Row],[ProjectName]]&amp;DiscreteStatsTable[[#This Row],[Name]]&amp;DiscreteStatsTable[[#This Row],[Type]]&amp;DiscreteStatsTable[[#This Row],[Source]]</f>
        <v>Unnamed ProjectPICTURE_VERMELHOTransfer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10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80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80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80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80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80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3.6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10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5</v>
      </c>
      <c r="D150" t="s">
        <v>78</v>
      </c>
      <c r="E150" t="s">
        <v>75</v>
      </c>
      <c r="F150" t="s">
        <v>71</v>
      </c>
      <c r="G150">
        <v>910.49105016418798</v>
      </c>
      <c r="H150">
        <v>2E+20</v>
      </c>
      <c r="I150">
        <v>738.93909107327204</v>
      </c>
      <c r="J150">
        <v>1040.57425091456</v>
      </c>
      <c r="K150">
        <v>5</v>
      </c>
      <c r="L150" s="5" t="str">
        <f>DiscreteStatsTable[[#This Row],[ProjectName]]&amp;DiscreteStatsTable[[#This Row],[Name]]&amp;DiscreteStatsTable[[#This Row],[Type]]&amp;DiscreteStatsTable[[#This Row],[Source]]</f>
        <v>Unnamed ProjectPICTURE_VERMELHOVA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10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917.06048186514431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31.188932790635697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22.311218461636159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852.00003268033299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968.47809802756694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738.93909107327204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1040.57425091456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3.6</v>
      </c>
      <c r="W150" s="5">
        <f>IF((DiscreteStatsTable[[#This Row],[RepsRequested]]&gt;1),DiscreteStatsTable[[#This Row],[HalfWidth]],DiscreteStatsTable[[#This Row],[BatchMeansHalfWidth]])</f>
        <v>22.311218461636159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10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5</v>
      </c>
      <c r="D151" t="s">
        <v>78</v>
      </c>
      <c r="E151" t="s">
        <v>76</v>
      </c>
      <c r="F151" t="s">
        <v>71</v>
      </c>
      <c r="G151">
        <v>742.96617259716299</v>
      </c>
      <c r="H151">
        <v>2E+20</v>
      </c>
      <c r="I151">
        <v>220.31949774580301</v>
      </c>
      <c r="J151">
        <v>1313.8978684393401</v>
      </c>
      <c r="K151">
        <v>5</v>
      </c>
      <c r="L151" s="5" t="str">
        <f>DiscreteStatsTable[[#This Row],[ProjectName]]&amp;DiscreteStatsTable[[#This Row],[Name]]&amp;DiscreteStatsTable[[#This Row],[Type]]&amp;DiscreteStatsTable[[#This Row],[Source]]</f>
        <v>Unnamed ProjectPICTURE_VERMELHOWait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10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599.61431233533438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359.58620743786923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257.23247678247975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285.81528231910198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1469.04982981227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1980.50467332738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3.6</v>
      </c>
      <c r="W151" s="5">
        <f>IF((DiscreteStatsTable[[#This Row],[RepsRequested]]&gt;1),DiscreteStatsTable[[#This Row],[HalfWidth]],DiscreteStatsTable[[#This Row],[BatchMeansHalfWidth]])</f>
        <v>257.23247678247975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10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6</v>
      </c>
      <c r="D152" t="s">
        <v>78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3</v>
      </c>
      <c r="L152" s="5" t="str">
        <f>DiscreteStatsTable[[#This Row],[ProjectName]]&amp;DiscreteStatsTable[[#This Row],[Name]]&amp;DiscreteStatsTable[[#This Row],[Type]]&amp;DiscreteStatsTable[[#This Row],[Source]]</f>
        <v>Unnamed ProjectPICTURE_VERMELHONVA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10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3.6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10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6</v>
      </c>
      <c r="D153" t="s">
        <v>78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3</v>
      </c>
      <c r="L153" s="5" t="str">
        <f>DiscreteStatsTable[[#This Row],[ProjectName]]&amp;DiscreteStatsTable[[#This Row],[Name]]&amp;DiscreteStatsTable[[#This Row],[Type]]&amp;DiscreteStatsTable[[#This Row],[Source]]</f>
        <v>Unnamed ProjectPICTURE_VERMELHOOther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10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3.6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10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6</v>
      </c>
      <c r="D154" t="s">
        <v>78</v>
      </c>
      <c r="E154" t="s">
        <v>73</v>
      </c>
      <c r="F154" t="s">
        <v>71</v>
      </c>
      <c r="G154">
        <v>1363.0377524217499</v>
      </c>
      <c r="H154">
        <v>2E+20</v>
      </c>
      <c r="I154">
        <v>1143.44692478967</v>
      </c>
      <c r="J154">
        <v>1733.50732525337</v>
      </c>
      <c r="K154">
        <v>3</v>
      </c>
      <c r="L154" s="5" t="str">
        <f>DiscreteStatsTable[[#This Row],[ProjectName]]&amp;DiscreteStatsTable[[#This Row],[Name]]&amp;DiscreteStatsTable[[#This Row],[Type]]&amp;DiscreteStatsTable[[#This Row],[Source]]</f>
        <v>Unnamed ProjectPICTURE_VERMELHOTotal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10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1596.674794200479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360.17109292347374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257.65087865380895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1294.7038939982201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2480.9683265646399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883.654167763744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2891.9175620544302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3.6</v>
      </c>
      <c r="W154" s="5">
        <f>IF((DiscreteStatsTable[[#This Row],[RepsRequested]]&gt;1),DiscreteStatsTable[[#This Row],[HalfWidth]],DiscreteStatsTable[[#This Row],[BatchMeansHalfWidth]])</f>
        <v>257.65087865380895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10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6</v>
      </c>
      <c r="D155" t="s">
        <v>78</v>
      </c>
      <c r="E155" t="s">
        <v>74</v>
      </c>
      <c r="F155" t="s">
        <v>71</v>
      </c>
      <c r="G155">
        <v>80</v>
      </c>
      <c r="H155">
        <v>2E+20</v>
      </c>
      <c r="I155">
        <v>80</v>
      </c>
      <c r="J155">
        <v>80</v>
      </c>
      <c r="K155">
        <v>3</v>
      </c>
      <c r="L155" s="5" t="str">
        <f>DiscreteStatsTable[[#This Row],[ProjectName]]&amp;DiscreteStatsTable[[#This Row],[Name]]&amp;DiscreteStatsTable[[#This Row],[Type]]&amp;DiscreteStatsTable[[#This Row],[Source]]</f>
        <v>Unnamed ProjectPICTURE_VERMELHOTransfer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10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80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80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80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80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80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3.6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10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6</v>
      </c>
      <c r="D156" t="s">
        <v>78</v>
      </c>
      <c r="E156" t="s">
        <v>75</v>
      </c>
      <c r="F156" t="s">
        <v>71</v>
      </c>
      <c r="G156">
        <v>908.84027790030802</v>
      </c>
      <c r="H156">
        <v>2E+20</v>
      </c>
      <c r="I156">
        <v>874.92058099503197</v>
      </c>
      <c r="J156">
        <v>927.40070955629096</v>
      </c>
      <c r="K156">
        <v>3</v>
      </c>
      <c r="L156" s="5" t="str">
        <f>DiscreteStatsTable[[#This Row],[ProjectName]]&amp;DiscreteStatsTable[[#This Row],[Name]]&amp;DiscreteStatsTable[[#This Row],[Type]]&amp;DiscreteStatsTable[[#This Row],[Source]]</f>
        <v>Unnamed ProjectPICTURE_VERMELHOVA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10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917.06048186514431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31.188932790635697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22.311218461636159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852.00003268033299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968.47809802756694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738.93909107327204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1040.57425091456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3.6</v>
      </c>
      <c r="W156" s="5">
        <f>IF((DiscreteStatsTable[[#This Row],[RepsRequested]]&gt;1),DiscreteStatsTable[[#This Row],[HalfWidth]],DiscreteStatsTable[[#This Row],[BatchMeansHalfWidth]])</f>
        <v>22.311218461636159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10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6</v>
      </c>
      <c r="D157" t="s">
        <v>78</v>
      </c>
      <c r="E157" t="s">
        <v>76</v>
      </c>
      <c r="F157" t="s">
        <v>71</v>
      </c>
      <c r="G157">
        <v>374.19747452143798</v>
      </c>
      <c r="H157">
        <v>2E+20</v>
      </c>
      <c r="I157">
        <v>139.247381640067</v>
      </c>
      <c r="J157">
        <v>726.10661569707497</v>
      </c>
      <c r="K157">
        <v>3</v>
      </c>
      <c r="L157" s="5" t="str">
        <f>DiscreteStatsTable[[#This Row],[ProjectName]]&amp;DiscreteStatsTable[[#This Row],[Name]]&amp;DiscreteStatsTable[[#This Row],[Type]]&amp;DiscreteStatsTable[[#This Row],[Source]]</f>
        <v>Unnamed ProjectPICTURE_VERMELHOWait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10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599.61431233533438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359.58620743786923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257.23247678247975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285.81528231910198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1469.04982981227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1980.50467332738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3.6</v>
      </c>
      <c r="W157" s="5">
        <f>IF((DiscreteStatsTable[[#This Row],[RepsRequested]]&gt;1),DiscreteStatsTable[[#This Row],[HalfWidth]],DiscreteStatsTable[[#This Row],[BatchMeansHalfWidth]])</f>
        <v>257.23247678247975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10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7</v>
      </c>
      <c r="D158" t="s">
        <v>78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3</v>
      </c>
      <c r="L158" s="5" t="str">
        <f>DiscreteStatsTable[[#This Row],[ProjectName]]&amp;DiscreteStatsTable[[#This Row],[Name]]&amp;DiscreteStatsTable[[#This Row],[Type]]&amp;DiscreteStatsTable[[#This Row],[Source]]</f>
        <v>Unnamed ProjectPICTURE_VERMELHONVA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10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3.6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10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7</v>
      </c>
      <c r="D159" t="s">
        <v>78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3</v>
      </c>
      <c r="L159" s="5" t="str">
        <f>DiscreteStatsTable[[#This Row],[ProjectName]]&amp;DiscreteStatsTable[[#This Row],[Name]]&amp;DiscreteStatsTable[[#This Row],[Type]]&amp;DiscreteStatsTable[[#This Row],[Source]]</f>
        <v>Unnamed ProjectPICTURE_VERMELHOOther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10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3.6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10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7</v>
      </c>
      <c r="D160" t="s">
        <v>78</v>
      </c>
      <c r="E160" t="s">
        <v>73</v>
      </c>
      <c r="F160" t="s">
        <v>71</v>
      </c>
      <c r="G160">
        <v>1497.3311469211601</v>
      </c>
      <c r="H160">
        <v>2E+20</v>
      </c>
      <c r="I160">
        <v>1023.85083386693</v>
      </c>
      <c r="J160">
        <v>2248.7074000708599</v>
      </c>
      <c r="K160">
        <v>3</v>
      </c>
      <c r="L160" s="5" t="str">
        <f>DiscreteStatsTable[[#This Row],[ProjectName]]&amp;DiscreteStatsTable[[#This Row],[Name]]&amp;DiscreteStatsTable[[#This Row],[Type]]&amp;DiscreteStatsTable[[#This Row],[Source]]</f>
        <v>Unnamed ProjectPICTURE_VERMELHOTotal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10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1596.674794200479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360.17109292347374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257.65087865380895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1294.7038939982201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2480.9683265646399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883.654167763744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2891.9175620544302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3.6</v>
      </c>
      <c r="W160" s="5">
        <f>IF((DiscreteStatsTable[[#This Row],[RepsRequested]]&gt;1),DiscreteStatsTable[[#This Row],[HalfWidth]],DiscreteStatsTable[[#This Row],[BatchMeansHalfWidth]])</f>
        <v>257.65087865380895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10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7</v>
      </c>
      <c r="D161" t="s">
        <v>78</v>
      </c>
      <c r="E161" t="s">
        <v>74</v>
      </c>
      <c r="F161" t="s">
        <v>71</v>
      </c>
      <c r="G161">
        <v>80</v>
      </c>
      <c r="H161">
        <v>2E+20</v>
      </c>
      <c r="I161">
        <v>80</v>
      </c>
      <c r="J161">
        <v>80</v>
      </c>
      <c r="K161">
        <v>3</v>
      </c>
      <c r="L161" s="5" t="str">
        <f>DiscreteStatsTable[[#This Row],[ProjectName]]&amp;DiscreteStatsTable[[#This Row],[Name]]&amp;DiscreteStatsTable[[#This Row],[Type]]&amp;DiscreteStatsTable[[#This Row],[Source]]</f>
        <v>Unnamed ProjectPICTURE_VERMELHOTransfer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10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80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80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80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80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80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3.6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10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7</v>
      </c>
      <c r="D162" t="s">
        <v>78</v>
      </c>
      <c r="E162" t="s">
        <v>75</v>
      </c>
      <c r="F162" t="s">
        <v>71</v>
      </c>
      <c r="G162">
        <v>944.50179560090203</v>
      </c>
      <c r="H162">
        <v>2E+20</v>
      </c>
      <c r="I162">
        <v>941.34881324816399</v>
      </c>
      <c r="J162">
        <v>948.305739687607</v>
      </c>
      <c r="K162">
        <v>3</v>
      </c>
      <c r="L162" s="5" t="str">
        <f>DiscreteStatsTable[[#This Row],[ProjectName]]&amp;DiscreteStatsTable[[#This Row],[Name]]&amp;DiscreteStatsTable[[#This Row],[Type]]&amp;DiscreteStatsTable[[#This Row],[Source]]</f>
        <v>Unnamed ProjectPICTURE_VERMELHOVA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10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917.06048186514431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31.188932790635697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22.311218461636159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852.00003268033299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968.47809802756694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738.93909107327204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1040.57425091456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3.6</v>
      </c>
      <c r="W162" s="5">
        <f>IF((DiscreteStatsTable[[#This Row],[RepsRequested]]&gt;1),DiscreteStatsTable[[#This Row],[HalfWidth]],DiscreteStatsTable[[#This Row],[BatchMeansHalfWidth]])</f>
        <v>22.311218461636159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10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7</v>
      </c>
      <c r="D163" t="s">
        <v>78</v>
      </c>
      <c r="E163" t="s">
        <v>76</v>
      </c>
      <c r="F163" t="s">
        <v>71</v>
      </c>
      <c r="G163">
        <v>472.82935132025699</v>
      </c>
      <c r="H163">
        <v>2E+20</v>
      </c>
      <c r="I163">
        <v>0</v>
      </c>
      <c r="J163">
        <v>1227.3585868226901</v>
      </c>
      <c r="K163">
        <v>3</v>
      </c>
      <c r="L163" s="5" t="str">
        <f>DiscreteStatsTable[[#This Row],[ProjectName]]&amp;DiscreteStatsTable[[#This Row],[Name]]&amp;DiscreteStatsTable[[#This Row],[Type]]&amp;DiscreteStatsTable[[#This Row],[Source]]</f>
        <v>Unnamed ProjectPICTURE_VERMELHOWait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10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599.61431233533438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359.58620743786923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257.23247678247975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285.81528231910198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1469.04982981227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1980.50467332738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3.6</v>
      </c>
      <c r="W163" s="5">
        <f>IF((DiscreteStatsTable[[#This Row],[RepsRequested]]&gt;1),DiscreteStatsTable[[#This Row],[HalfWidth]],DiscreteStatsTable[[#This Row],[BatchMeansHalfWidth]])</f>
        <v>257.23247678247975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10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8</v>
      </c>
      <c r="D164" t="s">
        <v>78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4</v>
      </c>
      <c r="L164" s="5" t="str">
        <f>DiscreteStatsTable[[#This Row],[ProjectName]]&amp;DiscreteStatsTable[[#This Row],[Name]]&amp;DiscreteStatsTable[[#This Row],[Type]]&amp;DiscreteStatsTable[[#This Row],[Source]]</f>
        <v>Unnamed ProjectPICTURE_VERMELHONVA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10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3.6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10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8</v>
      </c>
      <c r="D165" t="s">
        <v>78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4</v>
      </c>
      <c r="L165" s="5" t="str">
        <f>DiscreteStatsTable[[#This Row],[ProjectName]]&amp;DiscreteStatsTable[[#This Row],[Name]]&amp;DiscreteStatsTable[[#This Row],[Type]]&amp;DiscreteStatsTable[[#This Row],[Source]]</f>
        <v>Unnamed ProjectPICTURE_VERMELHOOther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10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3.6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10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8</v>
      </c>
      <c r="D166" t="s">
        <v>78</v>
      </c>
      <c r="E166" t="s">
        <v>73</v>
      </c>
      <c r="F166" t="s">
        <v>71</v>
      </c>
      <c r="G166">
        <v>1294.7038939982201</v>
      </c>
      <c r="H166">
        <v>2E+20</v>
      </c>
      <c r="I166">
        <v>1083.9490077229</v>
      </c>
      <c r="J166">
        <v>1594.70371610965</v>
      </c>
      <c r="K166">
        <v>4</v>
      </c>
      <c r="L166" s="5" t="str">
        <f>DiscreteStatsTable[[#This Row],[ProjectName]]&amp;DiscreteStatsTable[[#This Row],[Name]]&amp;DiscreteStatsTable[[#This Row],[Type]]&amp;DiscreteStatsTable[[#This Row],[Source]]</f>
        <v>Unnamed ProjectPICTURE_VERMELHOTotal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10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1596.674794200479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360.17109292347374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257.65087865380895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1294.7038939982201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2480.9683265646399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883.654167763744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2891.9175620544302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3.6</v>
      </c>
      <c r="W166" s="5">
        <f>IF((DiscreteStatsTable[[#This Row],[RepsRequested]]&gt;1),DiscreteStatsTable[[#This Row],[HalfWidth]],DiscreteStatsTable[[#This Row],[BatchMeansHalfWidth]])</f>
        <v>257.65087865380895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10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8</v>
      </c>
      <c r="D167" t="s">
        <v>78</v>
      </c>
      <c r="E167" t="s">
        <v>74</v>
      </c>
      <c r="F167" t="s">
        <v>71</v>
      </c>
      <c r="G167">
        <v>80</v>
      </c>
      <c r="H167">
        <v>2E+20</v>
      </c>
      <c r="I167">
        <v>80</v>
      </c>
      <c r="J167">
        <v>80</v>
      </c>
      <c r="K167">
        <v>4</v>
      </c>
      <c r="L167" s="5" t="str">
        <f>DiscreteStatsTable[[#This Row],[ProjectName]]&amp;DiscreteStatsTable[[#This Row],[Name]]&amp;DiscreteStatsTable[[#This Row],[Type]]&amp;DiscreteStatsTable[[#This Row],[Source]]</f>
        <v>Unnamed ProjectPICTURE_VERMELHOTransfer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10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80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80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80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80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80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3.6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10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8</v>
      </c>
      <c r="D168" t="s">
        <v>78</v>
      </c>
      <c r="E168" t="s">
        <v>75</v>
      </c>
      <c r="F168" t="s">
        <v>71</v>
      </c>
      <c r="G168">
        <v>928.88861167911296</v>
      </c>
      <c r="H168">
        <v>2E+20</v>
      </c>
      <c r="I168">
        <v>883.34122416166701</v>
      </c>
      <c r="J168">
        <v>952.49486466830103</v>
      </c>
      <c r="K168">
        <v>4</v>
      </c>
      <c r="L168" s="5" t="str">
        <f>DiscreteStatsTable[[#This Row],[ProjectName]]&amp;DiscreteStatsTable[[#This Row],[Name]]&amp;DiscreteStatsTable[[#This Row],[Type]]&amp;DiscreteStatsTable[[#This Row],[Source]]</f>
        <v>Unnamed ProjectPICTURE_VERMELHOVA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10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917.06048186514431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31.188932790635697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22.311218461636159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852.00003268033299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968.47809802756694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738.93909107327204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1040.57425091456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3.6</v>
      </c>
      <c r="W168" s="5">
        <f>IF((DiscreteStatsTable[[#This Row],[RepsRequested]]&gt;1),DiscreteStatsTable[[#This Row],[HalfWidth]],DiscreteStatsTable[[#This Row],[BatchMeansHalfWidth]])</f>
        <v>22.311218461636159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10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8</v>
      </c>
      <c r="D169" t="s">
        <v>78</v>
      </c>
      <c r="E169" t="s">
        <v>76</v>
      </c>
      <c r="F169" t="s">
        <v>71</v>
      </c>
      <c r="G169">
        <v>285.81528231910198</v>
      </c>
      <c r="H169">
        <v>2E+20</v>
      </c>
      <c r="I169">
        <v>51.4541430545951</v>
      </c>
      <c r="J169">
        <v>564.853134873096</v>
      </c>
      <c r="K169">
        <v>4</v>
      </c>
      <c r="L169" s="5" t="str">
        <f>DiscreteStatsTable[[#This Row],[ProjectName]]&amp;DiscreteStatsTable[[#This Row],[Name]]&amp;DiscreteStatsTable[[#This Row],[Type]]&amp;DiscreteStatsTable[[#This Row],[Source]]</f>
        <v>Unnamed ProjectPICTURE_VERMELHOWait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10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599.61431233533438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359.58620743786923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257.23247678247975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285.81528231910198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1469.04982981227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1980.50467332738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3.6</v>
      </c>
      <c r="W169" s="5">
        <f>IF((DiscreteStatsTable[[#This Row],[RepsRequested]]&gt;1),DiscreteStatsTable[[#This Row],[HalfWidth]],DiscreteStatsTable[[#This Row],[BatchMeansHalfWidth]])</f>
        <v>257.23247678247975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10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9</v>
      </c>
      <c r="D170" t="s">
        <v>78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3</v>
      </c>
      <c r="L170" s="5" t="str">
        <f>DiscreteStatsTable[[#This Row],[ProjectName]]&amp;DiscreteStatsTable[[#This Row],[Name]]&amp;DiscreteStatsTable[[#This Row],[Type]]&amp;DiscreteStatsTable[[#This Row],[Source]]</f>
        <v>Unnamed ProjectPICTURE_VERMELHONVA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10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3.6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10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9</v>
      </c>
      <c r="D171" t="s">
        <v>78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3</v>
      </c>
      <c r="L171" s="5" t="str">
        <f>DiscreteStatsTable[[#This Row],[ProjectName]]&amp;DiscreteStatsTable[[#This Row],[Name]]&amp;DiscreteStatsTable[[#This Row],[Type]]&amp;DiscreteStatsTable[[#This Row],[Source]]</f>
        <v>Unnamed ProjectPICTURE_VERMELHOOther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10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3.6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10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9</v>
      </c>
      <c r="D172" t="s">
        <v>78</v>
      </c>
      <c r="E172" t="s">
        <v>73</v>
      </c>
      <c r="F172" t="s">
        <v>71</v>
      </c>
      <c r="G172">
        <v>1734.7051025391299</v>
      </c>
      <c r="H172">
        <v>2E+20</v>
      </c>
      <c r="I172">
        <v>1275.7681288747499</v>
      </c>
      <c r="J172">
        <v>2009.95615057088</v>
      </c>
      <c r="K172">
        <v>3</v>
      </c>
      <c r="L172" s="5" t="str">
        <f>DiscreteStatsTable[[#This Row],[ProjectName]]&amp;DiscreteStatsTable[[#This Row],[Name]]&amp;DiscreteStatsTable[[#This Row],[Type]]&amp;DiscreteStatsTable[[#This Row],[Source]]</f>
        <v>Unnamed ProjectPICTURE_VERMELHOTotal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10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1596.674794200479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360.17109292347374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257.65087865380895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1294.7038939982201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2480.9683265646399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883.654167763744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2891.9175620544302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3.6</v>
      </c>
      <c r="W172" s="5">
        <f>IF((DiscreteStatsTable[[#This Row],[RepsRequested]]&gt;1),DiscreteStatsTable[[#This Row],[HalfWidth]],DiscreteStatsTable[[#This Row],[BatchMeansHalfWidth]])</f>
        <v>257.65087865380895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10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9</v>
      </c>
      <c r="D173" t="s">
        <v>78</v>
      </c>
      <c r="E173" t="s">
        <v>74</v>
      </c>
      <c r="F173" t="s">
        <v>71</v>
      </c>
      <c r="G173">
        <v>80</v>
      </c>
      <c r="H173">
        <v>2E+20</v>
      </c>
      <c r="I173">
        <v>80</v>
      </c>
      <c r="J173">
        <v>80</v>
      </c>
      <c r="K173">
        <v>3</v>
      </c>
      <c r="L173" s="5" t="str">
        <f>DiscreteStatsTable[[#This Row],[ProjectName]]&amp;DiscreteStatsTable[[#This Row],[Name]]&amp;DiscreteStatsTable[[#This Row],[Type]]&amp;DiscreteStatsTable[[#This Row],[Source]]</f>
        <v>Unnamed ProjectPICTURE_VERMELHOTransfer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10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80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80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80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80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80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3.6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10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9</v>
      </c>
      <c r="D174" t="s">
        <v>78</v>
      </c>
      <c r="E174" t="s">
        <v>75</v>
      </c>
      <c r="F174" t="s">
        <v>71</v>
      </c>
      <c r="G174">
        <v>892.10391737577095</v>
      </c>
      <c r="H174">
        <v>2E+20</v>
      </c>
      <c r="I174">
        <v>859.69844683519204</v>
      </c>
      <c r="J174">
        <v>929.38059269118196</v>
      </c>
      <c r="K174">
        <v>3</v>
      </c>
      <c r="L174" s="5" t="str">
        <f>DiscreteStatsTable[[#This Row],[ProjectName]]&amp;DiscreteStatsTable[[#This Row],[Name]]&amp;DiscreteStatsTable[[#This Row],[Type]]&amp;DiscreteStatsTable[[#This Row],[Source]]</f>
        <v>Unnamed ProjectPICTURE_VERMELHOVA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10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917.06048186514431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31.188932790635697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22.311218461636159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852.00003268033299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968.47809802756694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738.93909107327204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1040.57425091456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3.6</v>
      </c>
      <c r="W174" s="5">
        <f>IF((DiscreteStatsTable[[#This Row],[RepsRequested]]&gt;1),DiscreteStatsTable[[#This Row],[HalfWidth]],DiscreteStatsTable[[#This Row],[BatchMeansHalfWidth]])</f>
        <v>22.311218461636159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10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9</v>
      </c>
      <c r="D175" t="s">
        <v>78</v>
      </c>
      <c r="E175" t="s">
        <v>76</v>
      </c>
      <c r="F175" t="s">
        <v>71</v>
      </c>
      <c r="G175">
        <v>762.60118516335899</v>
      </c>
      <c r="H175">
        <v>2E+20</v>
      </c>
      <c r="I175">
        <v>266.38753618356299</v>
      </c>
      <c r="J175">
        <v>1070.25770373569</v>
      </c>
      <c r="K175">
        <v>3</v>
      </c>
      <c r="L175" s="5" t="str">
        <f>DiscreteStatsTable[[#This Row],[ProjectName]]&amp;DiscreteStatsTable[[#This Row],[Name]]&amp;DiscreteStatsTable[[#This Row],[Type]]&amp;DiscreteStatsTable[[#This Row],[Source]]</f>
        <v>Unnamed ProjectPICTURE_VERMELHOWait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10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599.61431233533438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359.58620743786923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257.23247678247975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285.81528231910198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1469.04982981227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1980.50467332738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3.6</v>
      </c>
      <c r="W175" s="5">
        <f>IF((DiscreteStatsTable[[#This Row],[RepsRequested]]&gt;1),DiscreteStatsTable[[#This Row],[HalfWidth]],DiscreteStatsTable[[#This Row],[BatchMeansHalfWidth]])</f>
        <v>257.23247678247975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10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10</v>
      </c>
      <c r="D176" t="s">
        <v>78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3</v>
      </c>
      <c r="L176" s="5" t="str">
        <f>DiscreteStatsTable[[#This Row],[ProjectName]]&amp;DiscreteStatsTable[[#This Row],[Name]]&amp;DiscreteStatsTable[[#This Row],[Type]]&amp;DiscreteStatsTable[[#This Row],[Source]]</f>
        <v>Unnamed ProjectPICTURE_VERMELHONVA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10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3.6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10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10</v>
      </c>
      <c r="D177" t="s">
        <v>78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3</v>
      </c>
      <c r="L177" s="5" t="str">
        <f>DiscreteStatsTable[[#This Row],[ProjectName]]&amp;DiscreteStatsTable[[#This Row],[Name]]&amp;DiscreteStatsTable[[#This Row],[Type]]&amp;DiscreteStatsTable[[#This Row],[Source]]</f>
        <v>Unnamed ProjectPICTURE_VERMELHOOther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10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3.6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10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10</v>
      </c>
      <c r="D178" t="s">
        <v>78</v>
      </c>
      <c r="E178" t="s">
        <v>73</v>
      </c>
      <c r="F178" t="s">
        <v>71</v>
      </c>
      <c r="G178">
        <v>1399.2264746626199</v>
      </c>
      <c r="H178">
        <v>2E+20</v>
      </c>
      <c r="I178">
        <v>883.654167763744</v>
      </c>
      <c r="J178">
        <v>1849.3441357667</v>
      </c>
      <c r="K178">
        <v>3</v>
      </c>
      <c r="L178" s="5" t="str">
        <f>DiscreteStatsTable[[#This Row],[ProjectName]]&amp;DiscreteStatsTable[[#This Row],[Name]]&amp;DiscreteStatsTable[[#This Row],[Type]]&amp;DiscreteStatsTable[[#This Row],[Source]]</f>
        <v>Unnamed ProjectPICTURE_VERMELHOTotal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10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1596.674794200479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360.17109292347374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257.65087865380895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1294.7038939982201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2480.9683265646399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883.654167763744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2891.9175620544302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3.6</v>
      </c>
      <c r="W178" s="5">
        <f>IF((DiscreteStatsTable[[#This Row],[RepsRequested]]&gt;1),DiscreteStatsTable[[#This Row],[HalfWidth]],DiscreteStatsTable[[#This Row],[BatchMeansHalfWidth]])</f>
        <v>257.65087865380895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10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10</v>
      </c>
      <c r="D179" t="s">
        <v>78</v>
      </c>
      <c r="E179" t="s">
        <v>74</v>
      </c>
      <c r="F179" t="s">
        <v>71</v>
      </c>
      <c r="G179">
        <v>80</v>
      </c>
      <c r="H179">
        <v>2E+20</v>
      </c>
      <c r="I179">
        <v>80</v>
      </c>
      <c r="J179">
        <v>80</v>
      </c>
      <c r="K179">
        <v>3</v>
      </c>
      <c r="L179" s="5" t="str">
        <f>DiscreteStatsTable[[#This Row],[ProjectName]]&amp;DiscreteStatsTable[[#This Row],[Name]]&amp;DiscreteStatsTable[[#This Row],[Type]]&amp;DiscreteStatsTable[[#This Row],[Source]]</f>
        <v>Unnamed ProjectPICTURE_VERMELHOTransfer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10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80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80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80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80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80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3.6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10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10</v>
      </c>
      <c r="D180" t="s">
        <v>78</v>
      </c>
      <c r="E180" t="s">
        <v>75</v>
      </c>
      <c r="F180" t="s">
        <v>71</v>
      </c>
      <c r="G180">
        <v>852.00003268033299</v>
      </c>
      <c r="H180">
        <v>2E+20</v>
      </c>
      <c r="I180">
        <v>803.654167763744</v>
      </c>
      <c r="J180">
        <v>890.69446768010903</v>
      </c>
      <c r="K180">
        <v>3</v>
      </c>
      <c r="L180" s="5" t="str">
        <f>DiscreteStatsTable[[#This Row],[ProjectName]]&amp;DiscreteStatsTable[[#This Row],[Name]]&amp;DiscreteStatsTable[[#This Row],[Type]]&amp;DiscreteStatsTable[[#This Row],[Source]]</f>
        <v>Unnamed ProjectPICTURE_VERMELHOVA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10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917.06048186514431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31.188932790635697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22.311218461636159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852.00003268033299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968.47809802756694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738.93909107327204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1040.57425091456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3.6</v>
      </c>
      <c r="W180" s="5">
        <f>IF((DiscreteStatsTable[[#This Row],[RepsRequested]]&gt;1),DiscreteStatsTable[[#This Row],[HalfWidth]],DiscreteStatsTable[[#This Row],[BatchMeansHalfWidth]])</f>
        <v>22.311218461636159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10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10</v>
      </c>
      <c r="D181" t="s">
        <v>78</v>
      </c>
      <c r="E181" t="s">
        <v>76</v>
      </c>
      <c r="F181" t="s">
        <v>71</v>
      </c>
      <c r="G181">
        <v>467.22644198228397</v>
      </c>
      <c r="H181">
        <v>2E+20</v>
      </c>
      <c r="I181">
        <v>0</v>
      </c>
      <c r="J181">
        <v>878.64966808659301</v>
      </c>
      <c r="K181">
        <v>3</v>
      </c>
      <c r="L181" s="5" t="str">
        <f>DiscreteStatsTable[[#This Row],[ProjectName]]&amp;DiscreteStatsTable[[#This Row],[Name]]&amp;DiscreteStatsTable[[#This Row],[Type]]&amp;DiscreteStatsTable[[#This Row],[Source]]</f>
        <v>Unnamed ProjectPICTURE_VERMELHOWait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10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599.61431233533438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359.58620743786923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257.23247678247975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285.81528231910198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1469.04982981227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1980.50467332738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3.6</v>
      </c>
      <c r="W181" s="5">
        <f>IF((DiscreteStatsTable[[#This Row],[RepsRequested]]&gt;1),DiscreteStatsTable[[#This Row],[HalfWidth]],DiscreteStatsTable[[#This Row],[BatchMeansHalfWidth]])</f>
        <v>257.23247678247975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10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79</v>
      </c>
      <c r="E182" t="s">
        <v>80</v>
      </c>
      <c r="F182" t="s">
        <v>81</v>
      </c>
      <c r="G182">
        <v>306.68947343817803</v>
      </c>
      <c r="H182">
        <v>2E+20</v>
      </c>
      <c r="I182">
        <v>0</v>
      </c>
      <c r="J182">
        <v>1151.5868370686101</v>
      </c>
      <c r="K182">
        <v>18</v>
      </c>
      <c r="L182" s="5" t="str">
        <f>DiscreteStatsTable[[#This Row],[ProjectName]]&amp;DiscreteStatsTable[[#This Row],[Name]]&amp;DiscreteStatsTable[[#This Row],[Type]]&amp;DiscreteStatsTable[[#This Row],[Source]]</f>
        <v>Unnamed ProjectProcesso Cortadeira.QueueWaiting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10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169.26697281990306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86.641050096534258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61.979273527106102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42.697032632327101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306.68947343817803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1151.5868370686101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15.9</v>
      </c>
      <c r="W182" s="5">
        <f>IF((DiscreteStatsTable[[#This Row],[RepsRequested]]&gt;1),DiscreteStatsTable[[#This Row],[HalfWidth]],DiscreteStatsTable[[#This Row],[BatchMeansHalfWidth]])</f>
        <v>61.979273527106102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10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79</v>
      </c>
      <c r="E183" t="s">
        <v>80</v>
      </c>
      <c r="F183" t="s">
        <v>81</v>
      </c>
      <c r="G183">
        <v>132.05029823906099</v>
      </c>
      <c r="H183">
        <v>2E+20</v>
      </c>
      <c r="I183">
        <v>0</v>
      </c>
      <c r="J183">
        <v>361.645976922096</v>
      </c>
      <c r="K183">
        <v>13</v>
      </c>
      <c r="L183" s="5" t="str">
        <f>DiscreteStatsTable[[#This Row],[ProjectName]]&amp;DiscreteStatsTable[[#This Row],[Name]]&amp;DiscreteStatsTable[[#This Row],[Type]]&amp;DiscreteStatsTable[[#This Row],[Source]]</f>
        <v>Unnamed ProjectProcesso Cortadeira.QueueWaiting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10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169.26697281990306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86.641050096534258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61.979273527106102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42.697032632327101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306.68947343817803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1151.5868370686101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15.9</v>
      </c>
      <c r="W183" s="5">
        <f>IF((DiscreteStatsTable[[#This Row],[RepsRequested]]&gt;1),DiscreteStatsTable[[#This Row],[HalfWidth]],DiscreteStatsTable[[#This Row],[BatchMeansHalfWidth]])</f>
        <v>61.979273527106102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10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79</v>
      </c>
      <c r="E184" t="s">
        <v>80</v>
      </c>
      <c r="F184" t="s">
        <v>81</v>
      </c>
      <c r="G184">
        <v>300.33153566178902</v>
      </c>
      <c r="H184">
        <v>2E+20</v>
      </c>
      <c r="I184">
        <v>0</v>
      </c>
      <c r="J184">
        <v>954.893445484616</v>
      </c>
      <c r="K184">
        <v>21</v>
      </c>
      <c r="L184" s="5" t="str">
        <f>DiscreteStatsTable[[#This Row],[ProjectName]]&amp;DiscreteStatsTable[[#This Row],[Name]]&amp;DiscreteStatsTable[[#This Row],[Type]]&amp;DiscreteStatsTable[[#This Row],[Source]]</f>
        <v>Unnamed ProjectProcesso Cortadeira.QueueWaiting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10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169.26697281990306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86.641050096534258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61.979273527106102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42.697032632327101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306.68947343817803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1151.5868370686101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15.9</v>
      </c>
      <c r="W184" s="5">
        <f>IF((DiscreteStatsTable[[#This Row],[RepsRequested]]&gt;1),DiscreteStatsTable[[#This Row],[HalfWidth]],DiscreteStatsTable[[#This Row],[BatchMeansHalfWidth]])</f>
        <v>61.979273527106102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10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79</v>
      </c>
      <c r="E185" t="s">
        <v>80</v>
      </c>
      <c r="F185" t="s">
        <v>81</v>
      </c>
      <c r="G185">
        <v>131.67213067034899</v>
      </c>
      <c r="H185">
        <v>2E+20</v>
      </c>
      <c r="I185">
        <v>0</v>
      </c>
      <c r="J185">
        <v>355.10299277035898</v>
      </c>
      <c r="K185">
        <v>15</v>
      </c>
      <c r="L185" s="5" t="str">
        <f>DiscreteStatsTable[[#This Row],[ProjectName]]&amp;DiscreteStatsTable[[#This Row],[Name]]&amp;DiscreteStatsTable[[#This Row],[Type]]&amp;DiscreteStatsTable[[#This Row],[Source]]</f>
        <v>Unnamed ProjectProcesso Cortadeira.QueueWaiting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10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169.26697281990306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86.641050096534258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61.979273527106102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42.697032632327101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306.68947343817803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1151.5868370686101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15.9</v>
      </c>
      <c r="W185" s="5">
        <f>IF((DiscreteStatsTable[[#This Row],[RepsRequested]]&gt;1),DiscreteStatsTable[[#This Row],[HalfWidth]],DiscreteStatsTable[[#This Row],[BatchMeansHalfWidth]])</f>
        <v>61.979273527106102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10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79</v>
      </c>
      <c r="E186" t="s">
        <v>80</v>
      </c>
      <c r="F186" t="s">
        <v>81</v>
      </c>
      <c r="G186">
        <v>208.76431667659401</v>
      </c>
      <c r="H186">
        <v>2E+20</v>
      </c>
      <c r="I186">
        <v>0</v>
      </c>
      <c r="J186">
        <v>664.71697647150495</v>
      </c>
      <c r="K186">
        <v>17</v>
      </c>
      <c r="L186" s="5" t="str">
        <f>DiscreteStatsTable[[#This Row],[ProjectName]]&amp;DiscreteStatsTable[[#This Row],[Name]]&amp;DiscreteStatsTable[[#This Row],[Type]]&amp;DiscreteStatsTable[[#This Row],[Source]]</f>
        <v>Unnamed ProjectProcesso Cortadeira.QueueWaiting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10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169.26697281990306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86.641050096534258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61.979273527106102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42.697032632327101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306.68947343817803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1151.5868370686101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15.9</v>
      </c>
      <c r="W186" s="5">
        <f>IF((DiscreteStatsTable[[#This Row],[RepsRequested]]&gt;1),DiscreteStatsTable[[#This Row],[HalfWidth]],DiscreteStatsTable[[#This Row],[BatchMeansHalfWidth]])</f>
        <v>61.979273527106102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10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79</v>
      </c>
      <c r="E187" t="s">
        <v>80</v>
      </c>
      <c r="F187" t="s">
        <v>81</v>
      </c>
      <c r="G187">
        <v>65.704694711736707</v>
      </c>
      <c r="H187">
        <v>2E+20</v>
      </c>
      <c r="I187">
        <v>0</v>
      </c>
      <c r="J187">
        <v>263.78698645970098</v>
      </c>
      <c r="K187">
        <v>12</v>
      </c>
      <c r="L187" s="5" t="str">
        <f>DiscreteStatsTable[[#This Row],[ProjectName]]&amp;DiscreteStatsTable[[#This Row],[Name]]&amp;DiscreteStatsTable[[#This Row],[Type]]&amp;DiscreteStatsTable[[#This Row],[Source]]</f>
        <v>Unnamed ProjectProcesso Cortadeira.QueueWaiting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10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169.26697281990306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86.641050096534258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61.979273527106102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42.697032632327101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306.68947343817803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1151.5868370686101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15.9</v>
      </c>
      <c r="W187" s="5">
        <f>IF((DiscreteStatsTable[[#This Row],[RepsRequested]]&gt;1),DiscreteStatsTable[[#This Row],[HalfWidth]],DiscreteStatsTable[[#This Row],[BatchMeansHalfWidth]])</f>
        <v>61.979273527106102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10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79</v>
      </c>
      <c r="E188" t="s">
        <v>80</v>
      </c>
      <c r="F188" t="s">
        <v>81</v>
      </c>
      <c r="G188">
        <v>42.697032632327101</v>
      </c>
      <c r="H188">
        <v>2E+20</v>
      </c>
      <c r="I188">
        <v>0</v>
      </c>
      <c r="J188">
        <v>310.77866929243203</v>
      </c>
      <c r="K188">
        <v>13</v>
      </c>
      <c r="L188" s="5" t="str">
        <f>DiscreteStatsTable[[#This Row],[ProjectName]]&amp;DiscreteStatsTable[[#This Row],[Name]]&amp;DiscreteStatsTable[[#This Row],[Type]]&amp;DiscreteStatsTable[[#This Row],[Source]]</f>
        <v>Unnamed ProjectProcesso Cortadeira.QueueWaiting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10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169.26697281990306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86.641050096534258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61.979273527106102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42.697032632327101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306.68947343817803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1151.5868370686101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15.9</v>
      </c>
      <c r="W188" s="5">
        <f>IF((DiscreteStatsTable[[#This Row],[RepsRequested]]&gt;1),DiscreteStatsTable[[#This Row],[HalfWidth]],DiscreteStatsTable[[#This Row],[BatchMeansHalfWidth]])</f>
        <v>61.979273527106102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10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79</v>
      </c>
      <c r="E189" t="s">
        <v>80</v>
      </c>
      <c r="F189" t="s">
        <v>81</v>
      </c>
      <c r="G189">
        <v>183.29151146496599</v>
      </c>
      <c r="H189">
        <v>2E+20</v>
      </c>
      <c r="I189">
        <v>0</v>
      </c>
      <c r="J189">
        <v>756.48161635449196</v>
      </c>
      <c r="K189">
        <v>14</v>
      </c>
      <c r="L189" s="5" t="str">
        <f>DiscreteStatsTable[[#This Row],[ProjectName]]&amp;DiscreteStatsTable[[#This Row],[Name]]&amp;DiscreteStatsTable[[#This Row],[Type]]&amp;DiscreteStatsTable[[#This Row],[Source]]</f>
        <v>Unnamed ProjectProcesso Cortadeira.QueueWaiting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10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169.26697281990306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86.641050096534258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61.979273527106102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42.697032632327101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306.68947343817803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1151.5868370686101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15.9</v>
      </c>
      <c r="W189" s="5">
        <f>IF((DiscreteStatsTable[[#This Row],[RepsRequested]]&gt;1),DiscreteStatsTable[[#This Row],[HalfWidth]],DiscreteStatsTable[[#This Row],[BatchMeansHalfWidth]])</f>
        <v>61.979273527106102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10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79</v>
      </c>
      <c r="E190" t="s">
        <v>80</v>
      </c>
      <c r="F190" t="s">
        <v>81</v>
      </c>
      <c r="G190">
        <v>155.670083092168</v>
      </c>
      <c r="H190">
        <v>2E+20</v>
      </c>
      <c r="I190">
        <v>0</v>
      </c>
      <c r="J190">
        <v>407.31343599482102</v>
      </c>
      <c r="K190">
        <v>21</v>
      </c>
      <c r="L190" s="5" t="str">
        <f>DiscreteStatsTable[[#This Row],[ProjectName]]&amp;DiscreteStatsTable[[#This Row],[Name]]&amp;DiscreteStatsTable[[#This Row],[Type]]&amp;DiscreteStatsTable[[#This Row],[Source]]</f>
        <v>Unnamed ProjectProcesso Cortadeira.QueueWaiting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10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169.26697281990306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86.641050096534258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61.979273527106102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42.697032632327101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306.68947343817803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1151.5868370686101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15.9</v>
      </c>
      <c r="W190" s="5">
        <f>IF((DiscreteStatsTable[[#This Row],[RepsRequested]]&gt;1),DiscreteStatsTable[[#This Row],[HalfWidth]],DiscreteStatsTable[[#This Row],[BatchMeansHalfWidth]])</f>
        <v>61.979273527106102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10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79</v>
      </c>
      <c r="E191" t="s">
        <v>80</v>
      </c>
      <c r="F191" t="s">
        <v>81</v>
      </c>
      <c r="G191">
        <v>165.798651611862</v>
      </c>
      <c r="H191">
        <v>2E+20</v>
      </c>
      <c r="I191">
        <v>0</v>
      </c>
      <c r="J191">
        <v>612.14360310493203</v>
      </c>
      <c r="K191">
        <v>15</v>
      </c>
      <c r="L191" s="5" t="str">
        <f>DiscreteStatsTable[[#This Row],[ProjectName]]&amp;DiscreteStatsTable[[#This Row],[Name]]&amp;DiscreteStatsTable[[#This Row],[Type]]&amp;DiscreteStatsTable[[#This Row],[Source]]</f>
        <v>Unnamed ProjectProcesso Cortadeira.QueueWaiting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10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169.26697281990306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86.641050096534258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61.979273527106102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42.697032632327101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306.68947343817803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1151.5868370686101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15.9</v>
      </c>
      <c r="W191" s="5">
        <f>IF((DiscreteStatsTable[[#This Row],[RepsRequested]]&gt;1),DiscreteStatsTable[[#This Row],[HalfWidth]],DiscreteStatsTable[[#This Row],[BatchMeansHalfWidth]])</f>
        <v>61.979273527106102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10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</v>
      </c>
      <c r="D192" t="s">
        <v>82</v>
      </c>
      <c r="E192" t="s">
        <v>80</v>
      </c>
      <c r="F192" t="s">
        <v>81</v>
      </c>
      <c r="G192">
        <v>75.227649331032396</v>
      </c>
      <c r="H192">
        <v>2E+20</v>
      </c>
      <c r="I192">
        <v>0</v>
      </c>
      <c r="J192">
        <v>261.251391063943</v>
      </c>
      <c r="K192">
        <v>15</v>
      </c>
      <c r="L192" s="5" t="str">
        <f>DiscreteStatsTable[[#This Row],[ProjectName]]&amp;DiscreteStatsTable[[#This Row],[Name]]&amp;DiscreteStatsTable[[#This Row],[Type]]&amp;DiscreteStatsTable[[#This Row],[Source]]</f>
        <v>Unnamed ProjectProcesso Lixadeira.QueueWaiting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10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99.685334345538806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70.382437721520873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50.348562883140168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10.558936234285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249.21381321552599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602.52817121718294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13.4</v>
      </c>
      <c r="W192" s="5">
        <f>IF((DiscreteStatsTable[[#This Row],[RepsRequested]]&gt;1),DiscreteStatsTable[[#This Row],[HalfWidth]],DiscreteStatsTable[[#This Row],[BatchMeansHalfWidth]])</f>
        <v>50.348562883140168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10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2</v>
      </c>
      <c r="D193" t="s">
        <v>82</v>
      </c>
      <c r="E193" t="s">
        <v>80</v>
      </c>
      <c r="F193" t="s">
        <v>81</v>
      </c>
      <c r="G193">
        <v>50.2178431039789</v>
      </c>
      <c r="H193">
        <v>2E+20</v>
      </c>
      <c r="I193">
        <v>0</v>
      </c>
      <c r="J193">
        <v>217.99840996137101</v>
      </c>
      <c r="K193">
        <v>13</v>
      </c>
      <c r="L193" s="5" t="str">
        <f>DiscreteStatsTable[[#This Row],[ProjectName]]&amp;DiscreteStatsTable[[#This Row],[Name]]&amp;DiscreteStatsTable[[#This Row],[Type]]&amp;DiscreteStatsTable[[#This Row],[Source]]</f>
        <v>Unnamed ProjectProcesso Lixadeira.QueueWaiting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10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99.685334345538806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70.382437721520873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50.348562883140168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10.558936234285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249.21381321552599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602.52817121718294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13.4</v>
      </c>
      <c r="W193" s="5">
        <f>IF((DiscreteStatsTable[[#This Row],[RepsRequested]]&gt;1),DiscreteStatsTable[[#This Row],[HalfWidth]],DiscreteStatsTable[[#This Row],[BatchMeansHalfWidth]])</f>
        <v>50.348562883140168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10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3</v>
      </c>
      <c r="D194" t="s">
        <v>82</v>
      </c>
      <c r="E194" t="s">
        <v>80</v>
      </c>
      <c r="F194" t="s">
        <v>81</v>
      </c>
      <c r="G194">
        <v>95.585555061652897</v>
      </c>
      <c r="H194">
        <v>2E+20</v>
      </c>
      <c r="I194">
        <v>0</v>
      </c>
      <c r="J194">
        <v>377.094379691602</v>
      </c>
      <c r="K194">
        <v>14</v>
      </c>
      <c r="L194" s="5" t="str">
        <f>DiscreteStatsTable[[#This Row],[ProjectName]]&amp;DiscreteStatsTable[[#This Row],[Name]]&amp;DiscreteStatsTable[[#This Row],[Type]]&amp;DiscreteStatsTable[[#This Row],[Source]]</f>
        <v>Unnamed ProjectProcesso Lixadeira.QueueWaiting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10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99.685334345538806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70.382437721520873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50.348562883140168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10.558936234285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249.21381321552599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602.52817121718294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13.4</v>
      </c>
      <c r="W194" s="5">
        <f>IF((DiscreteStatsTable[[#This Row],[RepsRequested]]&gt;1),DiscreteStatsTable[[#This Row],[HalfWidth]],DiscreteStatsTable[[#This Row],[BatchMeansHalfWidth]])</f>
        <v>50.348562883140168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10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4</v>
      </c>
      <c r="D195" t="s">
        <v>82</v>
      </c>
      <c r="E195" t="s">
        <v>80</v>
      </c>
      <c r="F195" t="s">
        <v>81</v>
      </c>
      <c r="G195">
        <v>193.208883232782</v>
      </c>
      <c r="H195">
        <v>2E+20</v>
      </c>
      <c r="I195">
        <v>0</v>
      </c>
      <c r="J195">
        <v>582.71940548949794</v>
      </c>
      <c r="K195">
        <v>14</v>
      </c>
      <c r="L195" s="5" t="str">
        <f>DiscreteStatsTable[[#This Row],[ProjectName]]&amp;DiscreteStatsTable[[#This Row],[Name]]&amp;DiscreteStatsTable[[#This Row],[Type]]&amp;DiscreteStatsTable[[#This Row],[Source]]</f>
        <v>Unnamed ProjectProcesso Lixadeira.QueueWaiting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10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99.685334345538806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70.382437721520873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50.348562883140168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10.558936234285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249.21381321552599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602.52817121718294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13.4</v>
      </c>
      <c r="W195" s="5">
        <f>IF((DiscreteStatsTable[[#This Row],[RepsRequested]]&gt;1),DiscreteStatsTable[[#This Row],[HalfWidth]],DiscreteStatsTable[[#This Row],[BatchMeansHalfWidth]])</f>
        <v>50.348562883140168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10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5</v>
      </c>
      <c r="D196" t="s">
        <v>82</v>
      </c>
      <c r="E196" t="s">
        <v>80</v>
      </c>
      <c r="F196" t="s">
        <v>81</v>
      </c>
      <c r="G196">
        <v>78.437141398770805</v>
      </c>
      <c r="H196">
        <v>2E+20</v>
      </c>
      <c r="I196">
        <v>0</v>
      </c>
      <c r="J196">
        <v>268.22671947687701</v>
      </c>
      <c r="K196">
        <v>14</v>
      </c>
      <c r="L196" s="5" t="str">
        <f>DiscreteStatsTable[[#This Row],[ProjectName]]&amp;DiscreteStatsTable[[#This Row],[Name]]&amp;DiscreteStatsTable[[#This Row],[Type]]&amp;DiscreteStatsTable[[#This Row],[Source]]</f>
        <v>Unnamed ProjectProcesso Lixadeira.QueueWaiting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10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99.685334345538806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70.382437721520873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50.348562883140168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10.558936234285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249.21381321552599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602.52817121718294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13.4</v>
      </c>
      <c r="W196" s="5">
        <f>IF((DiscreteStatsTable[[#This Row],[RepsRequested]]&gt;1),DiscreteStatsTable[[#This Row],[HalfWidth]],DiscreteStatsTable[[#This Row],[BatchMeansHalfWidth]])</f>
        <v>50.348562883140168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10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6</v>
      </c>
      <c r="D197" t="s">
        <v>82</v>
      </c>
      <c r="E197" t="s">
        <v>80</v>
      </c>
      <c r="F197" t="s">
        <v>81</v>
      </c>
      <c r="G197">
        <v>75.862601515125803</v>
      </c>
      <c r="H197">
        <v>2E+20</v>
      </c>
      <c r="I197">
        <v>0</v>
      </c>
      <c r="J197">
        <v>291.28102859546698</v>
      </c>
      <c r="K197">
        <v>11</v>
      </c>
      <c r="L197" s="5" t="str">
        <f>DiscreteStatsTable[[#This Row],[ProjectName]]&amp;DiscreteStatsTable[[#This Row],[Name]]&amp;DiscreteStatsTable[[#This Row],[Type]]&amp;DiscreteStatsTable[[#This Row],[Source]]</f>
        <v>Unnamed ProjectProcesso Lixadeira.QueueWaiting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10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99.685334345538806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70.382437721520873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50.348562883140168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10.558936234285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249.21381321552599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602.52817121718294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13.4</v>
      </c>
      <c r="W197" s="5">
        <f>IF((DiscreteStatsTable[[#This Row],[RepsRequested]]&gt;1),DiscreteStatsTable[[#This Row],[HalfWidth]],DiscreteStatsTable[[#This Row],[BatchMeansHalfWidth]])</f>
        <v>50.348562883140168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10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7</v>
      </c>
      <c r="D198" t="s">
        <v>82</v>
      </c>
      <c r="E198" t="s">
        <v>80</v>
      </c>
      <c r="F198" t="s">
        <v>81</v>
      </c>
      <c r="G198">
        <v>62.157244715134297</v>
      </c>
      <c r="H198">
        <v>2E+20</v>
      </c>
      <c r="I198">
        <v>0</v>
      </c>
      <c r="J198">
        <v>205.27445199430201</v>
      </c>
      <c r="K198">
        <v>12</v>
      </c>
      <c r="L198" s="5" t="str">
        <f>DiscreteStatsTable[[#This Row],[ProjectName]]&amp;DiscreteStatsTable[[#This Row],[Name]]&amp;DiscreteStatsTable[[#This Row],[Type]]&amp;DiscreteStatsTable[[#This Row],[Source]]</f>
        <v>Unnamed ProjectProcesso Lixadeira.QueueWaiting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10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99.685334345538806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70.382437721520873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50.348562883140168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10.558936234285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249.21381321552599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602.52817121718294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13.4</v>
      </c>
      <c r="W198" s="5">
        <f>IF((DiscreteStatsTable[[#This Row],[RepsRequested]]&gt;1),DiscreteStatsTable[[#This Row],[HalfWidth]],DiscreteStatsTable[[#This Row],[BatchMeansHalfWidth]])</f>
        <v>50.348562883140168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10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8</v>
      </c>
      <c r="D199" t="s">
        <v>82</v>
      </c>
      <c r="E199" t="s">
        <v>80</v>
      </c>
      <c r="F199" t="s">
        <v>81</v>
      </c>
      <c r="G199">
        <v>10.558936234285</v>
      </c>
      <c r="H199">
        <v>2E+20</v>
      </c>
      <c r="I199">
        <v>0</v>
      </c>
      <c r="J199">
        <v>64.066314512532699</v>
      </c>
      <c r="K199">
        <v>11</v>
      </c>
      <c r="L199" s="5" t="str">
        <f>DiscreteStatsTable[[#This Row],[ProjectName]]&amp;DiscreteStatsTable[[#This Row],[Name]]&amp;DiscreteStatsTable[[#This Row],[Type]]&amp;DiscreteStatsTable[[#This Row],[Source]]</f>
        <v>Unnamed ProjectProcesso Lixadeira.QueueWaiting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10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99.685334345538806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70.382437721520873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50.348562883140168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10.558936234285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249.21381321552599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602.52817121718294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13.4</v>
      </c>
      <c r="W199" s="5">
        <f>IF((DiscreteStatsTable[[#This Row],[RepsRequested]]&gt;1),DiscreteStatsTable[[#This Row],[HalfWidth]],DiscreteStatsTable[[#This Row],[BatchMeansHalfWidth]])</f>
        <v>50.348562883140168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10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9</v>
      </c>
      <c r="D200" t="s">
        <v>82</v>
      </c>
      <c r="E200" t="s">
        <v>80</v>
      </c>
      <c r="F200" t="s">
        <v>81</v>
      </c>
      <c r="G200">
        <v>249.21381321552599</v>
      </c>
      <c r="H200">
        <v>2E+20</v>
      </c>
      <c r="I200">
        <v>0</v>
      </c>
      <c r="J200">
        <v>602.52817121718294</v>
      </c>
      <c r="K200">
        <v>18</v>
      </c>
      <c r="L200" s="5" t="str">
        <f>DiscreteStatsTable[[#This Row],[ProjectName]]&amp;DiscreteStatsTable[[#This Row],[Name]]&amp;DiscreteStatsTable[[#This Row],[Type]]&amp;DiscreteStatsTable[[#This Row],[Source]]</f>
        <v>Unnamed ProjectProcesso Lixadeira.QueueWaiting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10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99.685334345538806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70.382437721520873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50.348562883140168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10.558936234285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249.21381321552599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602.52817121718294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13.4</v>
      </c>
      <c r="W200" s="5">
        <f>IF((DiscreteStatsTable[[#This Row],[RepsRequested]]&gt;1),DiscreteStatsTable[[#This Row],[HalfWidth]],DiscreteStatsTable[[#This Row],[BatchMeansHalfWidth]])</f>
        <v>50.348562883140168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10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10</v>
      </c>
      <c r="D201" t="s">
        <v>82</v>
      </c>
      <c r="E201" t="s">
        <v>80</v>
      </c>
      <c r="F201" t="s">
        <v>81</v>
      </c>
      <c r="G201">
        <v>106.38367564710001</v>
      </c>
      <c r="H201">
        <v>2E+20</v>
      </c>
      <c r="I201">
        <v>0</v>
      </c>
      <c r="J201">
        <v>330.17174164796199</v>
      </c>
      <c r="K201">
        <v>12</v>
      </c>
      <c r="L201" s="5" t="str">
        <f>DiscreteStatsTable[[#This Row],[ProjectName]]&amp;DiscreteStatsTable[[#This Row],[Name]]&amp;DiscreteStatsTable[[#This Row],[Type]]&amp;DiscreteStatsTable[[#This Row],[Source]]</f>
        <v>Unnamed ProjectProcesso Lixadeira.QueueWaiting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10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99.685334345538806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70.382437721520873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50.348562883140168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10.558936234285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249.21381321552599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602.52817121718294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13.4</v>
      </c>
      <c r="W201" s="5">
        <f>IF((DiscreteStatsTable[[#This Row],[RepsRequested]]&gt;1),DiscreteStatsTable[[#This Row],[HalfWidth]],DiscreteStatsTable[[#This Row],[BatchMeansHalfWidth]])</f>
        <v>50.348562883140168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10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1</v>
      </c>
      <c r="D202" t="s">
        <v>83</v>
      </c>
      <c r="E202" t="s">
        <v>80</v>
      </c>
      <c r="F202" t="s">
        <v>81</v>
      </c>
      <c r="G202">
        <v>193.08782651087299</v>
      </c>
      <c r="H202">
        <v>2E+20</v>
      </c>
      <c r="I202">
        <v>0</v>
      </c>
      <c r="J202">
        <v>620.70767005798098</v>
      </c>
      <c r="K202">
        <v>14</v>
      </c>
      <c r="L202" s="5" t="str">
        <f>DiscreteStatsTable[[#This Row],[ProjectName]]&amp;DiscreteStatsTable[[#This Row],[Name]]&amp;DiscreteStatsTable[[#This Row],[Type]]&amp;DiscreteStatsTable[[#This Row],[Source]]</f>
        <v>Unnamed ProjectProcesso Torno.QueueWaiting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10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446.62799305519582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303.316654557145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216.97966353337216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193.08782651087299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1163.9300078516401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2023.15343968925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15.6</v>
      </c>
      <c r="W202" s="5">
        <f>IF((DiscreteStatsTable[[#This Row],[RepsRequested]]&gt;1),DiscreteStatsTable[[#This Row],[HalfWidth]],DiscreteStatsTable[[#This Row],[BatchMeansHalfWidth]])</f>
        <v>216.97966353337216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10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</v>
      </c>
      <c r="D203" t="s">
        <v>83</v>
      </c>
      <c r="E203" t="s">
        <v>80</v>
      </c>
      <c r="F203" t="s">
        <v>81</v>
      </c>
      <c r="G203">
        <v>454.41836649292702</v>
      </c>
      <c r="H203">
        <v>2E+20</v>
      </c>
      <c r="I203">
        <v>0</v>
      </c>
      <c r="J203">
        <v>1221.25586555103</v>
      </c>
      <c r="K203">
        <v>17</v>
      </c>
      <c r="L203" s="5" t="str">
        <f>DiscreteStatsTable[[#This Row],[ProjectName]]&amp;DiscreteStatsTable[[#This Row],[Name]]&amp;DiscreteStatsTable[[#This Row],[Type]]&amp;DiscreteStatsTable[[#This Row],[Source]]</f>
        <v>Unnamed ProjectProcesso Torno.QueueWaiting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10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446.62799305519582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303.316654557145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216.97966353337216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193.08782651087299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1163.9300078516401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2023.15343968925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15.6</v>
      </c>
      <c r="W203" s="5">
        <f>IF((DiscreteStatsTable[[#This Row],[RepsRequested]]&gt;1),DiscreteStatsTable[[#This Row],[HalfWidth]],DiscreteStatsTable[[#This Row],[BatchMeansHalfWidth]])</f>
        <v>216.97966353337216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10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3</v>
      </c>
      <c r="D204" t="s">
        <v>83</v>
      </c>
      <c r="E204" t="s">
        <v>80</v>
      </c>
      <c r="F204" t="s">
        <v>81</v>
      </c>
      <c r="G204">
        <v>1163.9300078516401</v>
      </c>
      <c r="H204">
        <v>2E+20</v>
      </c>
      <c r="I204">
        <v>0</v>
      </c>
      <c r="J204">
        <v>2023.15343968925</v>
      </c>
      <c r="K204">
        <v>18</v>
      </c>
      <c r="L204" s="5" t="str">
        <f>DiscreteStatsTable[[#This Row],[ProjectName]]&amp;DiscreteStatsTable[[#This Row],[Name]]&amp;DiscreteStatsTable[[#This Row],[Type]]&amp;DiscreteStatsTable[[#This Row],[Source]]</f>
        <v>Unnamed ProjectProcesso Torno.QueueWaiting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10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446.62799305519582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303.316654557145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216.97966353337216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193.08782651087299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1163.9300078516401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2023.15343968925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15.6</v>
      </c>
      <c r="W204" s="5">
        <f>IF((DiscreteStatsTable[[#This Row],[RepsRequested]]&gt;1),DiscreteStatsTable[[#This Row],[HalfWidth]],DiscreteStatsTable[[#This Row],[BatchMeansHalfWidth]])</f>
        <v>216.97966353337216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10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4</v>
      </c>
      <c r="D205" t="s">
        <v>83</v>
      </c>
      <c r="E205" t="s">
        <v>80</v>
      </c>
      <c r="F205" t="s">
        <v>81</v>
      </c>
      <c r="G205">
        <v>268.83757784462802</v>
      </c>
      <c r="H205">
        <v>2E+20</v>
      </c>
      <c r="I205">
        <v>0</v>
      </c>
      <c r="J205">
        <v>770.93962415184899</v>
      </c>
      <c r="K205">
        <v>16</v>
      </c>
      <c r="L205" s="5" t="str">
        <f>DiscreteStatsTable[[#This Row],[ProjectName]]&amp;DiscreteStatsTable[[#This Row],[Name]]&amp;DiscreteStatsTable[[#This Row],[Type]]&amp;DiscreteStatsTable[[#This Row],[Source]]</f>
        <v>Unnamed ProjectProcesso Torno.QueueWaiting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10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446.62799305519582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303.316654557145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216.97966353337216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193.08782651087299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1163.9300078516401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2023.15343968925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15.6</v>
      </c>
      <c r="W205" s="5">
        <f>IF((DiscreteStatsTable[[#This Row],[RepsRequested]]&gt;1),DiscreteStatsTable[[#This Row],[HalfWidth]],DiscreteStatsTable[[#This Row],[BatchMeansHalfWidth]])</f>
        <v>216.97966353337216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10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5</v>
      </c>
      <c r="D206" t="s">
        <v>83</v>
      </c>
      <c r="E206" t="s">
        <v>80</v>
      </c>
      <c r="F206" t="s">
        <v>81</v>
      </c>
      <c r="G206">
        <v>525.29231823062901</v>
      </c>
      <c r="H206">
        <v>2E+20</v>
      </c>
      <c r="I206">
        <v>0</v>
      </c>
      <c r="J206">
        <v>1159.9479839186099</v>
      </c>
      <c r="K206">
        <v>19</v>
      </c>
      <c r="L206" s="5" t="str">
        <f>DiscreteStatsTable[[#This Row],[ProjectName]]&amp;DiscreteStatsTable[[#This Row],[Name]]&amp;DiscreteStatsTable[[#This Row],[Type]]&amp;DiscreteStatsTable[[#This Row],[Source]]</f>
        <v>Unnamed ProjectProcesso Torno.QueueWaiting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10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446.62799305519582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303.316654557145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216.97966353337216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193.08782651087299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1163.9300078516401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2023.15343968925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15.6</v>
      </c>
      <c r="W206" s="5">
        <f>IF((DiscreteStatsTable[[#This Row],[RepsRequested]]&gt;1),DiscreteStatsTable[[#This Row],[HalfWidth]],DiscreteStatsTable[[#This Row],[BatchMeansHalfWidth]])</f>
        <v>216.97966353337216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10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6</v>
      </c>
      <c r="D207" t="s">
        <v>83</v>
      </c>
      <c r="E207" t="s">
        <v>80</v>
      </c>
      <c r="F207" t="s">
        <v>81</v>
      </c>
      <c r="G207">
        <v>364.54531429711898</v>
      </c>
      <c r="H207">
        <v>2E+20</v>
      </c>
      <c r="I207">
        <v>0</v>
      </c>
      <c r="J207">
        <v>975.36360213170497</v>
      </c>
      <c r="K207">
        <v>18</v>
      </c>
      <c r="L207" s="5" t="str">
        <f>DiscreteStatsTable[[#This Row],[ProjectName]]&amp;DiscreteStatsTable[[#This Row],[Name]]&amp;DiscreteStatsTable[[#This Row],[Type]]&amp;DiscreteStatsTable[[#This Row],[Source]]</f>
        <v>Unnamed ProjectProcesso Torno.QueueWaiting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10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446.62799305519582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303.316654557145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216.97966353337216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193.08782651087299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1163.9300078516401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2023.15343968925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15.6</v>
      </c>
      <c r="W207" s="5">
        <f>IF((DiscreteStatsTable[[#This Row],[RepsRequested]]&gt;1),DiscreteStatsTable[[#This Row],[HalfWidth]],DiscreteStatsTable[[#This Row],[BatchMeansHalfWidth]])</f>
        <v>216.97966353337216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10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7</v>
      </c>
      <c r="D208" t="s">
        <v>83</v>
      </c>
      <c r="E208" t="s">
        <v>80</v>
      </c>
      <c r="F208" t="s">
        <v>81</v>
      </c>
      <c r="G208">
        <v>240.75265726713999</v>
      </c>
      <c r="H208">
        <v>2E+20</v>
      </c>
      <c r="I208">
        <v>0</v>
      </c>
      <c r="J208">
        <v>916.57991753025999</v>
      </c>
      <c r="K208">
        <v>10</v>
      </c>
      <c r="L208" s="5" t="str">
        <f>DiscreteStatsTable[[#This Row],[ProjectName]]&amp;DiscreteStatsTable[[#This Row],[Name]]&amp;DiscreteStatsTable[[#This Row],[Type]]&amp;DiscreteStatsTable[[#This Row],[Source]]</f>
        <v>Unnamed ProjectProcesso Torno.QueueWaiting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10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446.62799305519582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303.316654557145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216.97966353337216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193.08782651087299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1163.9300078516401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2023.15343968925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15.6</v>
      </c>
      <c r="W208" s="5">
        <f>IF((DiscreteStatsTable[[#This Row],[RepsRequested]]&gt;1),DiscreteStatsTable[[#This Row],[HalfWidth]],DiscreteStatsTable[[#This Row],[BatchMeansHalfWidth]])</f>
        <v>216.97966353337216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10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8</v>
      </c>
      <c r="D209" t="s">
        <v>83</v>
      </c>
      <c r="E209" t="s">
        <v>80</v>
      </c>
      <c r="F209" t="s">
        <v>81</v>
      </c>
      <c r="G209">
        <v>273.72060091179202</v>
      </c>
      <c r="H209">
        <v>2E+20</v>
      </c>
      <c r="I209">
        <v>0</v>
      </c>
      <c r="J209">
        <v>556.93901624316402</v>
      </c>
      <c r="K209">
        <v>13</v>
      </c>
      <c r="L209" s="5" t="str">
        <f>DiscreteStatsTable[[#This Row],[ProjectName]]&amp;DiscreteStatsTable[[#This Row],[Name]]&amp;DiscreteStatsTable[[#This Row],[Type]]&amp;DiscreteStatsTable[[#This Row],[Source]]</f>
        <v>Unnamed ProjectProcesso Torno.QueueWaiting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10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446.62799305519582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303.316654557145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216.97966353337216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193.08782651087299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1163.9300078516401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2023.15343968925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15.6</v>
      </c>
      <c r="W209" s="5">
        <f>IF((DiscreteStatsTable[[#This Row],[RepsRequested]]&gt;1),DiscreteStatsTable[[#This Row],[HalfWidth]],DiscreteStatsTable[[#This Row],[BatchMeansHalfWidth]])</f>
        <v>216.97966353337216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10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9</v>
      </c>
      <c r="D210" t="s">
        <v>83</v>
      </c>
      <c r="E210" t="s">
        <v>80</v>
      </c>
      <c r="F210" t="s">
        <v>81</v>
      </c>
      <c r="G210">
        <v>744.24060917383997</v>
      </c>
      <c r="H210">
        <v>2E+20</v>
      </c>
      <c r="I210">
        <v>0</v>
      </c>
      <c r="J210">
        <v>1496.9263218839001</v>
      </c>
      <c r="K210">
        <v>16</v>
      </c>
      <c r="L210" s="5" t="str">
        <f>DiscreteStatsTable[[#This Row],[ProjectName]]&amp;DiscreteStatsTable[[#This Row],[Name]]&amp;DiscreteStatsTable[[#This Row],[Type]]&amp;DiscreteStatsTable[[#This Row],[Source]]</f>
        <v>Unnamed ProjectProcesso Torno.QueueWaiting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10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446.62799305519582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303.316654557145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216.97966353337216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193.08782651087299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1163.9300078516401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2023.15343968925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15.6</v>
      </c>
      <c r="W210" s="5">
        <f>IF((DiscreteStatsTable[[#This Row],[RepsRequested]]&gt;1),DiscreteStatsTable[[#This Row],[HalfWidth]],DiscreteStatsTable[[#This Row],[BatchMeansHalfWidth]])</f>
        <v>216.97966353337216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10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10</v>
      </c>
      <c r="D211" t="s">
        <v>83</v>
      </c>
      <c r="E211" t="s">
        <v>80</v>
      </c>
      <c r="F211" t="s">
        <v>81</v>
      </c>
      <c r="G211">
        <v>237.454651971369</v>
      </c>
      <c r="H211">
        <v>2E+20</v>
      </c>
      <c r="I211">
        <v>0</v>
      </c>
      <c r="J211">
        <v>711.74326659738006</v>
      </c>
      <c r="K211">
        <v>15</v>
      </c>
      <c r="L211" s="5" t="str">
        <f>DiscreteStatsTable[[#This Row],[ProjectName]]&amp;DiscreteStatsTable[[#This Row],[Name]]&amp;DiscreteStatsTable[[#This Row],[Type]]&amp;DiscreteStatsTable[[#This Row],[Source]]</f>
        <v>Unnamed ProjectProcesso Torno.QueueWaiting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10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446.62799305519582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303.316654557145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216.97966353337216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193.08782651087299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1163.9300078516401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2023.15343968925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15.6</v>
      </c>
      <c r="W211" s="5">
        <f>IF((DiscreteStatsTable[[#This Row],[RepsRequested]]&gt;1),DiscreteStatsTable[[#This Row],[HalfWidth]],DiscreteStatsTable[[#This Row],[BatchMeansHalfWidth]])</f>
        <v>216.97966353337216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10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61"/>
  <sheetViews>
    <sheetView workbookViewId="0">
      <selection activeCell="D2" sqref="D2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23.6640625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63.21875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2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84</v>
      </c>
      <c r="E2" t="s">
        <v>85</v>
      </c>
      <c r="F2" t="s">
        <v>86</v>
      </c>
      <c r="G2">
        <v>0.739383947758675</v>
      </c>
      <c r="H2">
        <v>2E+20</v>
      </c>
      <c r="I2">
        <v>0</v>
      </c>
      <c r="J2">
        <v>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ProjectOPERADOR_CORTEInstantaneous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0.50548165778050103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0.90373198712706704</v>
      </c>
      <c r="U2">
        <f>IF((ContinuousStatsTable[[#This Row],[RepsRequested]]&gt;1),ContinuousStatsTable[[#This Row],[HalfWidth]],ContinuousStatsTable[[#This Row],[BatchMeansHalfWidth]])</f>
        <v>9.5209427409943759E-2</v>
      </c>
    </row>
    <row r="3" spans="1:21" x14ac:dyDescent="0.3">
      <c r="A3" t="s">
        <v>66</v>
      </c>
      <c r="B3" t="s">
        <v>68</v>
      </c>
      <c r="C3">
        <v>1</v>
      </c>
      <c r="D3" t="s">
        <v>84</v>
      </c>
      <c r="E3" t="s">
        <v>87</v>
      </c>
      <c r="F3" t="s">
        <v>86</v>
      </c>
      <c r="G3">
        <v>0.739383947758675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ProjectOPERADOR_CORTENumber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0.50548165778050103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0.90373198712706704</v>
      </c>
      <c r="U3">
        <f>IF((ContinuousStatsTable[[#This Row],[RepsRequested]]&gt;1),ContinuousStatsTable[[#This Row],[HalfWidth]],ContinuousStatsTable[[#This Row],[BatchMeansHalfWidth]])</f>
        <v>9.5209427409943759E-2</v>
      </c>
    </row>
    <row r="4" spans="1:21" x14ac:dyDescent="0.3">
      <c r="A4" t="s">
        <v>66</v>
      </c>
      <c r="B4" t="s">
        <v>68</v>
      </c>
      <c r="C4">
        <v>1</v>
      </c>
      <c r="D4" t="s">
        <v>84</v>
      </c>
      <c r="E4" t="s">
        <v>88</v>
      </c>
      <c r="F4" t="s">
        <v>86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ProjectOPERADOR_CORTENumber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3">
      <c r="A5" t="s">
        <v>66</v>
      </c>
      <c r="B5" t="s">
        <v>68</v>
      </c>
      <c r="C5">
        <v>1</v>
      </c>
      <c r="D5" t="s">
        <v>89</v>
      </c>
      <c r="E5" t="s">
        <v>85</v>
      </c>
      <c r="F5" t="s">
        <v>86</v>
      </c>
      <c r="G5">
        <v>0.72290834012351401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ProjectOPERADOR_LIXADEIRAInstantaneous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0.48262851817987601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0.85064625227951796</v>
      </c>
      <c r="U5">
        <f>IF((ContinuousStatsTable[[#This Row],[RepsRequested]]&gt;1),ContinuousStatsTable[[#This Row],[HalfWidth]],ContinuousStatsTable[[#This Row],[BatchMeansHalfWidth]])</f>
        <v>8.0588572823863613E-2</v>
      </c>
    </row>
    <row r="6" spans="1:21" x14ac:dyDescent="0.3">
      <c r="A6" t="s">
        <v>66</v>
      </c>
      <c r="B6" t="s">
        <v>68</v>
      </c>
      <c r="C6">
        <v>1</v>
      </c>
      <c r="D6" t="s">
        <v>89</v>
      </c>
      <c r="E6" t="s">
        <v>87</v>
      </c>
      <c r="F6" t="s">
        <v>86</v>
      </c>
      <c r="G6">
        <v>0.72290834012351401</v>
      </c>
      <c r="H6">
        <v>2E+20</v>
      </c>
      <c r="I6">
        <v>0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ProjectOPERADOR_LIXADEIRANumber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0.48262851817987601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0.85064625227951796</v>
      </c>
      <c r="U6">
        <f>IF((ContinuousStatsTable[[#This Row],[RepsRequested]]&gt;1),ContinuousStatsTable[[#This Row],[HalfWidth]],ContinuousStatsTable[[#This Row],[BatchMeansHalfWidth]])</f>
        <v>8.0588572823863613E-2</v>
      </c>
    </row>
    <row r="7" spans="1:21" x14ac:dyDescent="0.3">
      <c r="A7" t="s">
        <v>66</v>
      </c>
      <c r="B7" t="s">
        <v>68</v>
      </c>
      <c r="C7">
        <v>1</v>
      </c>
      <c r="D7" t="s">
        <v>89</v>
      </c>
      <c r="E7" t="s">
        <v>88</v>
      </c>
      <c r="F7" t="s">
        <v>86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ProjectOPERADOR_LIXADEIRANumber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3">
      <c r="A8" t="s">
        <v>66</v>
      </c>
      <c r="B8" t="s">
        <v>68</v>
      </c>
      <c r="C8">
        <v>1</v>
      </c>
      <c r="D8" t="s">
        <v>90</v>
      </c>
      <c r="E8" t="s">
        <v>85</v>
      </c>
      <c r="F8" t="s">
        <v>86</v>
      </c>
      <c r="G8">
        <v>0.73992577614381105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ProjectOPERADOR_TORNOInstantaneous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0.51379543219592505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0.98397972672724299</v>
      </c>
      <c r="U8">
        <f>IF((ContinuousStatsTable[[#This Row],[RepsRequested]]&gt;1),ContinuousStatsTable[[#This Row],[HalfWidth]],ContinuousStatsTable[[#This Row],[BatchMeansHalfWidth]])</f>
        <v>9.9934848072064403E-2</v>
      </c>
    </row>
    <row r="9" spans="1:21" x14ac:dyDescent="0.3">
      <c r="A9" t="s">
        <v>66</v>
      </c>
      <c r="B9" t="s">
        <v>68</v>
      </c>
      <c r="C9">
        <v>1</v>
      </c>
      <c r="D9" t="s">
        <v>90</v>
      </c>
      <c r="E9" t="s">
        <v>87</v>
      </c>
      <c r="F9" t="s">
        <v>86</v>
      </c>
      <c r="G9">
        <v>0.73992577614381105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ProjectOPERADOR_TORNONumber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0.51379543219592505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0.98397972672724299</v>
      </c>
      <c r="U9">
        <f>IF((ContinuousStatsTable[[#This Row],[RepsRequested]]&gt;1),ContinuousStatsTable[[#This Row],[HalfWidth]],ContinuousStatsTable[[#This Row],[BatchMeansHalfWidth]])</f>
        <v>9.9934848072064403E-2</v>
      </c>
    </row>
    <row r="10" spans="1:21" x14ac:dyDescent="0.3">
      <c r="A10" t="s">
        <v>66</v>
      </c>
      <c r="B10" t="s">
        <v>68</v>
      </c>
      <c r="C10">
        <v>1</v>
      </c>
      <c r="D10" t="s">
        <v>90</v>
      </c>
      <c r="E10" t="s">
        <v>88</v>
      </c>
      <c r="F10" t="s">
        <v>86</v>
      </c>
      <c r="G10">
        <v>1</v>
      </c>
      <c r="H10">
        <v>2E+20</v>
      </c>
      <c r="I10">
        <v>1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ProjectOPERADOR_TORNONumber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1</v>
      </c>
      <c r="D11" t="s">
        <v>91</v>
      </c>
      <c r="E11" t="s">
        <v>92</v>
      </c>
      <c r="F11" t="s">
        <v>71</v>
      </c>
      <c r="G11">
        <v>0</v>
      </c>
      <c r="H11">
        <v>2E+20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ProjectPECAWIPEntity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">
      <c r="A12" t="s">
        <v>66</v>
      </c>
      <c r="B12" t="s">
        <v>68</v>
      </c>
      <c r="C12">
        <v>1</v>
      </c>
      <c r="D12" t="s">
        <v>69</v>
      </c>
      <c r="E12" t="s">
        <v>92</v>
      </c>
      <c r="F12" t="s">
        <v>71</v>
      </c>
      <c r="G12">
        <v>0.98154666306801797</v>
      </c>
      <c r="H12">
        <v>2E+20</v>
      </c>
      <c r="I12">
        <v>0</v>
      </c>
      <c r="J12">
        <v>3</v>
      </c>
      <c r="K12">
        <v>3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ProjectPICTURE_AZULWIPEntity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1.7449219173007218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1.1636100327840786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0.8323964728088421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0.61587295107649098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4.62111418248214</v>
      </c>
      <c r="U12">
        <f>IF((ContinuousStatsTable[[#This Row],[RepsRequested]]&gt;1),ContinuousStatsTable[[#This Row],[HalfWidth]],ContinuousStatsTable[[#This Row],[BatchMeansHalfWidth]])</f>
        <v>0.8323964728088421</v>
      </c>
    </row>
    <row r="13" spans="1:21" x14ac:dyDescent="0.3">
      <c r="A13" t="s">
        <v>66</v>
      </c>
      <c r="B13" t="s">
        <v>68</v>
      </c>
      <c r="C13">
        <v>1</v>
      </c>
      <c r="D13" t="s">
        <v>77</v>
      </c>
      <c r="E13" t="s">
        <v>92</v>
      </c>
      <c r="F13" t="s">
        <v>71</v>
      </c>
      <c r="G13">
        <v>2.0019544179848499</v>
      </c>
      <c r="H13">
        <v>2E+20</v>
      </c>
      <c r="I13">
        <v>0</v>
      </c>
      <c r="J13">
        <v>5</v>
      </c>
      <c r="K13">
        <v>5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ProjectPICTURE_VERDEWIPEntity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10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1.4932618444780983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0.52254145076226866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0.37380363545871892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0.96966120558496105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2.4913718530767301</v>
      </c>
      <c r="U13">
        <f>IF((ContinuousStatsTable[[#This Row],[RepsRequested]]&gt;1),ContinuousStatsTable[[#This Row],[HalfWidth]],ContinuousStatsTable[[#This Row],[BatchMeansHalfWidth]])</f>
        <v>0.37380363545871892</v>
      </c>
    </row>
    <row r="14" spans="1:21" x14ac:dyDescent="0.3">
      <c r="A14" t="s">
        <v>66</v>
      </c>
      <c r="B14" t="s">
        <v>68</v>
      </c>
      <c r="C14">
        <v>1</v>
      </c>
      <c r="D14" t="s">
        <v>78</v>
      </c>
      <c r="E14" t="s">
        <v>92</v>
      </c>
      <c r="F14" t="s">
        <v>71</v>
      </c>
      <c r="G14">
        <v>1.57783570146554</v>
      </c>
      <c r="H14">
        <v>2E+20</v>
      </c>
      <c r="I14">
        <v>0</v>
      </c>
      <c r="J14">
        <v>4</v>
      </c>
      <c r="K14">
        <v>4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ProjectPICTURE_VERMELHOWIPEntity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10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1.4286586600337643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0.75640588530896835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0.54110017377262498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0.67509473200672698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3.2826442810797798</v>
      </c>
      <c r="U14">
        <f>IF((ContinuousStatsTable[[#This Row],[RepsRequested]]&gt;1),ContinuousStatsTable[[#This Row],[HalfWidth]],ContinuousStatsTable[[#This Row],[BatchMeansHalfWidth]])</f>
        <v>0.54110017377262498</v>
      </c>
    </row>
    <row r="15" spans="1:21" x14ac:dyDescent="0.3">
      <c r="A15" t="s">
        <v>66</v>
      </c>
      <c r="B15" t="s">
        <v>68</v>
      </c>
      <c r="C15">
        <v>1</v>
      </c>
      <c r="D15" t="s">
        <v>79</v>
      </c>
      <c r="E15" t="s">
        <v>93</v>
      </c>
      <c r="F15" t="s">
        <v>81</v>
      </c>
      <c r="G15">
        <v>1.3344747615452</v>
      </c>
      <c r="H15">
        <v>2E+20</v>
      </c>
      <c r="I15">
        <v>0</v>
      </c>
      <c r="J15">
        <v>5</v>
      </c>
      <c r="K15">
        <v>5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ProjectProcesso Cortadeira.QueueNumber WaitingQueue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10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0.53038558221716525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0.39245895765901451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0.28074822567142471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9.2510237370042006E-2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1.3344747615452</v>
      </c>
      <c r="U15">
        <f>IF((ContinuousStatsTable[[#This Row],[RepsRequested]]&gt;1),ContinuousStatsTable[[#This Row],[HalfWidth]],ContinuousStatsTable[[#This Row],[BatchMeansHalfWidth]])</f>
        <v>0.28074822567142471</v>
      </c>
    </row>
    <row r="16" spans="1:21" x14ac:dyDescent="0.3">
      <c r="A16" t="s">
        <v>66</v>
      </c>
      <c r="B16" t="s">
        <v>68</v>
      </c>
      <c r="C16">
        <v>1</v>
      </c>
      <c r="D16" t="s">
        <v>82</v>
      </c>
      <c r="E16" t="s">
        <v>93</v>
      </c>
      <c r="F16" t="s">
        <v>81</v>
      </c>
      <c r="G16">
        <v>0.18806912332758099</v>
      </c>
      <c r="H16">
        <v>2E+20</v>
      </c>
      <c r="I16">
        <v>0</v>
      </c>
      <c r="J16">
        <v>1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ProjectProcesso Lixadeira.QueueNumber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10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0.2467605477410765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0.20931915451334221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0.14973790273305995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2.27129878205608E-2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0.74764143964657803</v>
      </c>
      <c r="U16">
        <f>IF((ContinuousStatsTable[[#This Row],[RepsRequested]]&gt;1),ContinuousStatsTable[[#This Row],[HalfWidth]],ContinuousStatsTable[[#This Row],[BatchMeansHalfWidth]])</f>
        <v>0.14973790273305995</v>
      </c>
    </row>
    <row r="17" spans="1:21" x14ac:dyDescent="0.3">
      <c r="A17" t="s">
        <v>66</v>
      </c>
      <c r="B17" t="s">
        <v>68</v>
      </c>
      <c r="C17">
        <v>1</v>
      </c>
      <c r="D17" t="s">
        <v>83</v>
      </c>
      <c r="E17" t="s">
        <v>93</v>
      </c>
      <c r="F17" t="s">
        <v>81</v>
      </c>
      <c r="G17">
        <v>0.57324150028629495</v>
      </c>
      <c r="H17">
        <v>2E+20</v>
      </c>
      <c r="I17">
        <v>0</v>
      </c>
      <c r="J17">
        <v>4</v>
      </c>
      <c r="K17">
        <v>4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ProjectProcesso Torno.QueueNumber WaitingQueue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10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1.548257740428852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1.5672595927449962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1.1211499731189045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0.40125442877856599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5.62509510911375</v>
      </c>
      <c r="U17">
        <f>IF((ContinuousStatsTable[[#This Row],[RepsRequested]]&gt;1),ContinuousStatsTable[[#This Row],[HalfWidth]],ContinuousStatsTable[[#This Row],[BatchMeansHalfWidth]])</f>
        <v>1.1211499731189045</v>
      </c>
    </row>
    <row r="18" spans="1:21" x14ac:dyDescent="0.3">
      <c r="A18" t="s">
        <v>66</v>
      </c>
      <c r="B18" t="s">
        <v>68</v>
      </c>
      <c r="C18">
        <v>2</v>
      </c>
      <c r="D18" t="s">
        <v>84</v>
      </c>
      <c r="E18" t="s">
        <v>85</v>
      </c>
      <c r="F18" t="s">
        <v>86</v>
      </c>
      <c r="G18">
        <v>0.58475861044950805</v>
      </c>
      <c r="H18">
        <v>2E+20</v>
      </c>
      <c r="I18">
        <v>0</v>
      </c>
      <c r="J18">
        <v>1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ProjectOPERADOR_CORTEInstantaneous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10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0.50548165778050103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0.90373198712706704</v>
      </c>
      <c r="U18">
        <f>IF((ContinuousStatsTable[[#This Row],[RepsRequested]]&gt;1),ContinuousStatsTable[[#This Row],[HalfWidth]],ContinuousStatsTable[[#This Row],[BatchMeansHalfWidth]])</f>
        <v>9.5209427409943759E-2</v>
      </c>
    </row>
    <row r="19" spans="1:21" x14ac:dyDescent="0.3">
      <c r="A19" t="s">
        <v>66</v>
      </c>
      <c r="B19" t="s">
        <v>68</v>
      </c>
      <c r="C19">
        <v>2</v>
      </c>
      <c r="D19" t="s">
        <v>84</v>
      </c>
      <c r="E19" t="s">
        <v>87</v>
      </c>
      <c r="F19" t="s">
        <v>86</v>
      </c>
      <c r="G19">
        <v>0.58475861044950805</v>
      </c>
      <c r="H19">
        <v>2E+20</v>
      </c>
      <c r="I19">
        <v>0</v>
      </c>
      <c r="J19">
        <v>1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ProjectOPERADOR_CORTENumber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10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0.50548165778050103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0.90373198712706704</v>
      </c>
      <c r="U19">
        <f>IF((ContinuousStatsTable[[#This Row],[RepsRequested]]&gt;1),ContinuousStatsTable[[#This Row],[HalfWidth]],ContinuousStatsTable[[#This Row],[BatchMeansHalfWidth]])</f>
        <v>9.5209427409943759E-2</v>
      </c>
    </row>
    <row r="20" spans="1:21" x14ac:dyDescent="0.3">
      <c r="A20" t="s">
        <v>66</v>
      </c>
      <c r="B20" t="s">
        <v>68</v>
      </c>
      <c r="C20">
        <v>2</v>
      </c>
      <c r="D20" t="s">
        <v>84</v>
      </c>
      <c r="E20" t="s">
        <v>88</v>
      </c>
      <c r="F20" t="s">
        <v>86</v>
      </c>
      <c r="G20">
        <v>1</v>
      </c>
      <c r="H20">
        <v>2E+20</v>
      </c>
      <c r="I20">
        <v>1</v>
      </c>
      <c r="J20">
        <v>1</v>
      </c>
      <c r="K20">
        <v>1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ProjectOPERADOR_CORTENumber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10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1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1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2</v>
      </c>
      <c r="D21" t="s">
        <v>89</v>
      </c>
      <c r="E21" t="s">
        <v>85</v>
      </c>
      <c r="F21" t="s">
        <v>86</v>
      </c>
      <c r="G21">
        <v>0.54490714253019401</v>
      </c>
      <c r="H21">
        <v>2E+20</v>
      </c>
      <c r="I21">
        <v>0</v>
      </c>
      <c r="J21">
        <v>1</v>
      </c>
      <c r="K21">
        <v>1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ProjectOPERADOR_LIXADEIRAInstantaneous UtilizationResource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10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0.48262851817987601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0.85064625227951796</v>
      </c>
      <c r="U21">
        <f>IF((ContinuousStatsTable[[#This Row],[RepsRequested]]&gt;1),ContinuousStatsTable[[#This Row],[HalfWidth]],ContinuousStatsTable[[#This Row],[BatchMeansHalfWidth]])</f>
        <v>8.0588572823863613E-2</v>
      </c>
    </row>
    <row r="22" spans="1:21" x14ac:dyDescent="0.3">
      <c r="A22" t="s">
        <v>66</v>
      </c>
      <c r="B22" t="s">
        <v>68</v>
      </c>
      <c r="C22">
        <v>2</v>
      </c>
      <c r="D22" t="s">
        <v>89</v>
      </c>
      <c r="E22" t="s">
        <v>87</v>
      </c>
      <c r="F22" t="s">
        <v>86</v>
      </c>
      <c r="G22">
        <v>0.54490714253019401</v>
      </c>
      <c r="H22">
        <v>2E+20</v>
      </c>
      <c r="I22">
        <v>0</v>
      </c>
      <c r="J22">
        <v>1</v>
      </c>
      <c r="K22">
        <v>1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ProjectOPERADOR_LIXADEIRANumber BusyResource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10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0.48262851817987601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0.85064625227951796</v>
      </c>
      <c r="U22">
        <f>IF((ContinuousStatsTable[[#This Row],[RepsRequested]]&gt;1),ContinuousStatsTable[[#This Row],[HalfWidth]],ContinuousStatsTable[[#This Row],[BatchMeansHalfWidth]])</f>
        <v>8.0588572823863613E-2</v>
      </c>
    </row>
    <row r="23" spans="1:21" x14ac:dyDescent="0.3">
      <c r="A23" t="s">
        <v>66</v>
      </c>
      <c r="B23" t="s">
        <v>68</v>
      </c>
      <c r="C23">
        <v>2</v>
      </c>
      <c r="D23" t="s">
        <v>89</v>
      </c>
      <c r="E23" t="s">
        <v>88</v>
      </c>
      <c r="F23" t="s">
        <v>86</v>
      </c>
      <c r="G23">
        <v>1</v>
      </c>
      <c r="H23">
        <v>2E+20</v>
      </c>
      <c r="I23">
        <v>1</v>
      </c>
      <c r="J23">
        <v>1</v>
      </c>
      <c r="K23">
        <v>1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ProjectOPERADOR_LIXADEIRANumber ScheduledResource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10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1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1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1</v>
      </c>
      <c r="U23">
        <f>IF((ContinuousStatsTable[[#This Row],[RepsRequested]]&gt;1),ContinuousStatsTable[[#This Row],[HalfWidth]],ContinuousStatsTable[[#This Row],[BatchMeansHalfWidth]])</f>
        <v>0</v>
      </c>
    </row>
    <row r="24" spans="1:21" x14ac:dyDescent="0.3">
      <c r="A24" t="s">
        <v>66</v>
      </c>
      <c r="B24" t="s">
        <v>68</v>
      </c>
      <c r="C24">
        <v>2</v>
      </c>
      <c r="D24" t="s">
        <v>90</v>
      </c>
      <c r="E24" t="s">
        <v>85</v>
      </c>
      <c r="F24" t="s">
        <v>86</v>
      </c>
      <c r="G24">
        <v>0.92083324630187702</v>
      </c>
      <c r="H24">
        <v>2E+20</v>
      </c>
      <c r="I24">
        <v>0</v>
      </c>
      <c r="J24">
        <v>1</v>
      </c>
      <c r="K24">
        <v>1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ProjectOPERADOR_TORNOInstantaneous UtilizationResource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10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0.51379543219592505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0.98397972672724299</v>
      </c>
      <c r="U24">
        <f>IF((ContinuousStatsTable[[#This Row],[RepsRequested]]&gt;1),ContinuousStatsTable[[#This Row],[HalfWidth]],ContinuousStatsTable[[#This Row],[BatchMeansHalfWidth]])</f>
        <v>9.9934848072064403E-2</v>
      </c>
    </row>
    <row r="25" spans="1:21" x14ac:dyDescent="0.3">
      <c r="A25" t="s">
        <v>66</v>
      </c>
      <c r="B25" t="s">
        <v>68</v>
      </c>
      <c r="C25">
        <v>2</v>
      </c>
      <c r="D25" t="s">
        <v>90</v>
      </c>
      <c r="E25" t="s">
        <v>87</v>
      </c>
      <c r="F25" t="s">
        <v>86</v>
      </c>
      <c r="G25">
        <v>0.92083324630187702</v>
      </c>
      <c r="H25">
        <v>2E+20</v>
      </c>
      <c r="I25">
        <v>0</v>
      </c>
      <c r="J25">
        <v>1</v>
      </c>
      <c r="K25">
        <v>1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ProjectOPERADOR_TORNONumber BusyResource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10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0.51379543219592505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0.98397972672724299</v>
      </c>
      <c r="U25">
        <f>IF((ContinuousStatsTable[[#This Row],[RepsRequested]]&gt;1),ContinuousStatsTable[[#This Row],[HalfWidth]],ContinuousStatsTable[[#This Row],[BatchMeansHalfWidth]])</f>
        <v>9.9934848072064403E-2</v>
      </c>
    </row>
    <row r="26" spans="1:21" x14ac:dyDescent="0.3">
      <c r="A26" t="s">
        <v>66</v>
      </c>
      <c r="B26" t="s">
        <v>68</v>
      </c>
      <c r="C26">
        <v>2</v>
      </c>
      <c r="D26" t="s">
        <v>90</v>
      </c>
      <c r="E26" t="s">
        <v>88</v>
      </c>
      <c r="F26" t="s">
        <v>86</v>
      </c>
      <c r="G26">
        <v>1</v>
      </c>
      <c r="H26">
        <v>2E+20</v>
      </c>
      <c r="I26">
        <v>1</v>
      </c>
      <c r="J26">
        <v>1</v>
      </c>
      <c r="K26">
        <v>1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ProjectOPERADOR_TORNONumber ScheduledResource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10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1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1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1</v>
      </c>
      <c r="U26">
        <f>IF((ContinuousStatsTable[[#This Row],[RepsRequested]]&gt;1),ContinuousStatsTable[[#This Row],[HalfWidth]],ContinuousStatsTable[[#This Row],[BatchMeansHalfWidth]])</f>
        <v>0</v>
      </c>
    </row>
    <row r="27" spans="1:21" x14ac:dyDescent="0.3">
      <c r="A27" t="s">
        <v>66</v>
      </c>
      <c r="B27" t="s">
        <v>68</v>
      </c>
      <c r="C27">
        <v>2</v>
      </c>
      <c r="D27" t="s">
        <v>91</v>
      </c>
      <c r="E27" t="s">
        <v>92</v>
      </c>
      <c r="F27" t="s">
        <v>71</v>
      </c>
      <c r="G27">
        <v>0</v>
      </c>
      <c r="H27">
        <v>2E+20</v>
      </c>
      <c r="I27">
        <v>0</v>
      </c>
      <c r="J27">
        <v>1</v>
      </c>
      <c r="K27">
        <v>0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ProjectPECAWIPEntity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10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0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0</v>
      </c>
      <c r="U27">
        <f>IF((ContinuousStatsTable[[#This Row],[RepsRequested]]&gt;1),ContinuousStatsTable[[#This Row],[HalfWidth]],ContinuousStatsTable[[#This Row],[BatchMeansHalfWidth]])</f>
        <v>0</v>
      </c>
    </row>
    <row r="28" spans="1:21" x14ac:dyDescent="0.3">
      <c r="A28" t="s">
        <v>66</v>
      </c>
      <c r="B28" t="s">
        <v>68</v>
      </c>
      <c r="C28">
        <v>2</v>
      </c>
      <c r="D28" t="s">
        <v>69</v>
      </c>
      <c r="E28" t="s">
        <v>92</v>
      </c>
      <c r="F28" t="s">
        <v>71</v>
      </c>
      <c r="G28">
        <v>1.5063014969686801</v>
      </c>
      <c r="H28">
        <v>2E+20</v>
      </c>
      <c r="I28">
        <v>0</v>
      </c>
      <c r="J28">
        <v>4</v>
      </c>
      <c r="K28">
        <v>1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ProjectPICTURE_AZULWIPEntity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10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1.7449219173007218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1.1636100327840786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0.8323964728088421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0.61587295107649098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4.62111418248214</v>
      </c>
      <c r="U28">
        <f>IF((ContinuousStatsTable[[#This Row],[RepsRequested]]&gt;1),ContinuousStatsTable[[#This Row],[HalfWidth]],ContinuousStatsTable[[#This Row],[BatchMeansHalfWidth]])</f>
        <v>0.8323964728088421</v>
      </c>
    </row>
    <row r="29" spans="1:21" x14ac:dyDescent="0.3">
      <c r="A29" t="s">
        <v>66</v>
      </c>
      <c r="B29" t="s">
        <v>68</v>
      </c>
      <c r="C29">
        <v>2</v>
      </c>
      <c r="D29" t="s">
        <v>77</v>
      </c>
      <c r="E29" t="s">
        <v>92</v>
      </c>
      <c r="F29" t="s">
        <v>71</v>
      </c>
      <c r="G29">
        <v>0.97353228698918304</v>
      </c>
      <c r="H29">
        <v>2E+20</v>
      </c>
      <c r="I29">
        <v>0</v>
      </c>
      <c r="J29">
        <v>3</v>
      </c>
      <c r="K29">
        <v>1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ProjectPICTURE_VERDEWIPEntity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10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1.4932618444780983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0.52254145076226866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0.37380363545871892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0.96966120558496105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2.4913718530767301</v>
      </c>
      <c r="U29">
        <f>IF((ContinuousStatsTable[[#This Row],[RepsRequested]]&gt;1),ContinuousStatsTable[[#This Row],[HalfWidth]],ContinuousStatsTable[[#This Row],[BatchMeansHalfWidth]])</f>
        <v>0.37380363545871892</v>
      </c>
    </row>
    <row r="30" spans="1:21" x14ac:dyDescent="0.3">
      <c r="A30" t="s">
        <v>66</v>
      </c>
      <c r="B30" t="s">
        <v>68</v>
      </c>
      <c r="C30">
        <v>2</v>
      </c>
      <c r="D30" t="s">
        <v>78</v>
      </c>
      <c r="E30" t="s">
        <v>92</v>
      </c>
      <c r="F30" t="s">
        <v>71</v>
      </c>
      <c r="G30">
        <v>1.4730982266302699</v>
      </c>
      <c r="H30">
        <v>2E+20</v>
      </c>
      <c r="I30">
        <v>0</v>
      </c>
      <c r="J30">
        <v>3</v>
      </c>
      <c r="K30">
        <v>0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ProjectPICTURE_VERMELHOWIPEntity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10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1.4286586600337643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0.75640588530896835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0.54110017377262498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0.67509473200672698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3.2826442810797798</v>
      </c>
      <c r="U30">
        <f>IF((ContinuousStatsTable[[#This Row],[RepsRequested]]&gt;1),ContinuousStatsTable[[#This Row],[HalfWidth]],ContinuousStatsTable[[#This Row],[BatchMeansHalfWidth]])</f>
        <v>0.54110017377262498</v>
      </c>
    </row>
    <row r="31" spans="1:21" x14ac:dyDescent="0.3">
      <c r="A31" t="s">
        <v>66</v>
      </c>
      <c r="B31" t="s">
        <v>68</v>
      </c>
      <c r="C31">
        <v>2</v>
      </c>
      <c r="D31" t="s">
        <v>79</v>
      </c>
      <c r="E31" t="s">
        <v>93</v>
      </c>
      <c r="F31" t="s">
        <v>81</v>
      </c>
      <c r="G31">
        <v>0.28610897951796499</v>
      </c>
      <c r="H31">
        <v>2E+20</v>
      </c>
      <c r="I31">
        <v>0</v>
      </c>
      <c r="J31">
        <v>2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ProjectProcesso Cortadeira.QueueNumber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10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0.53038558221716525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0.39245895765901451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0.28074822567142471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9.2510237370042006E-2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1.3344747615452</v>
      </c>
      <c r="U31">
        <f>IF((ContinuousStatsTable[[#This Row],[RepsRequested]]&gt;1),ContinuousStatsTable[[#This Row],[HalfWidth]],ContinuousStatsTable[[#This Row],[BatchMeansHalfWidth]])</f>
        <v>0.28074822567142471</v>
      </c>
    </row>
    <row r="32" spans="1:21" x14ac:dyDescent="0.3">
      <c r="A32" t="s">
        <v>66</v>
      </c>
      <c r="B32" t="s">
        <v>68</v>
      </c>
      <c r="C32">
        <v>2</v>
      </c>
      <c r="D32" t="s">
        <v>82</v>
      </c>
      <c r="E32" t="s">
        <v>93</v>
      </c>
      <c r="F32" t="s">
        <v>81</v>
      </c>
      <c r="G32">
        <v>0.108805326725288</v>
      </c>
      <c r="H32">
        <v>2E+20</v>
      </c>
      <c r="I32">
        <v>0</v>
      </c>
      <c r="J32">
        <v>1</v>
      </c>
      <c r="K32">
        <v>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ProjectProcesso Lixadeira.QueueNumber WaitingQueue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10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0.2467605477410765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0.20931915451334221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0.14973790273305995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2.27129878205608E-2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0.74764143964657803</v>
      </c>
      <c r="U32">
        <f>IF((ContinuousStatsTable[[#This Row],[RepsRequested]]&gt;1),ContinuousStatsTable[[#This Row],[HalfWidth]],ContinuousStatsTable[[#This Row],[BatchMeansHalfWidth]])</f>
        <v>0.14973790273305995</v>
      </c>
    </row>
    <row r="33" spans="1:21" x14ac:dyDescent="0.3">
      <c r="A33" t="s">
        <v>66</v>
      </c>
      <c r="B33" t="s">
        <v>68</v>
      </c>
      <c r="C33">
        <v>2</v>
      </c>
      <c r="D33" t="s">
        <v>83</v>
      </c>
      <c r="E33" t="s">
        <v>93</v>
      </c>
      <c r="F33" t="s">
        <v>81</v>
      </c>
      <c r="G33">
        <v>1.2875187050632899</v>
      </c>
      <c r="H33">
        <v>2E+20</v>
      </c>
      <c r="I33">
        <v>0</v>
      </c>
      <c r="J33">
        <v>4</v>
      </c>
      <c r="K33">
        <v>0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ProjectProcesso Torno.QueueNumber WaitingQueue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10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1.548257740428852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1.5672595927449962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1.1211499731189045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0.40125442877856599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5.62509510911375</v>
      </c>
      <c r="U33">
        <f>IF((ContinuousStatsTable[[#This Row],[RepsRequested]]&gt;1),ContinuousStatsTable[[#This Row],[HalfWidth]],ContinuousStatsTable[[#This Row],[BatchMeansHalfWidth]])</f>
        <v>1.1211499731189045</v>
      </c>
    </row>
    <row r="34" spans="1:21" x14ac:dyDescent="0.3">
      <c r="A34" t="s">
        <v>66</v>
      </c>
      <c r="B34" t="s">
        <v>68</v>
      </c>
      <c r="C34">
        <v>3</v>
      </c>
      <c r="D34" t="s">
        <v>84</v>
      </c>
      <c r="E34" t="s">
        <v>85</v>
      </c>
      <c r="F34" t="s">
        <v>86</v>
      </c>
      <c r="G34">
        <v>0.90373198712706704</v>
      </c>
      <c r="H34">
        <v>2E+20</v>
      </c>
      <c r="I34">
        <v>0</v>
      </c>
      <c r="J34">
        <v>1</v>
      </c>
      <c r="K34">
        <v>1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ProjectOPERADOR_CORTEInstantaneous UtilizationResource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10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0.50548165778050103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0.90373198712706704</v>
      </c>
      <c r="U34">
        <f>IF((ContinuousStatsTable[[#This Row],[RepsRequested]]&gt;1),ContinuousStatsTable[[#This Row],[HalfWidth]],ContinuousStatsTable[[#This Row],[BatchMeansHalfWidth]])</f>
        <v>9.5209427409943759E-2</v>
      </c>
    </row>
    <row r="35" spans="1:21" x14ac:dyDescent="0.3">
      <c r="A35" t="s">
        <v>66</v>
      </c>
      <c r="B35" t="s">
        <v>68</v>
      </c>
      <c r="C35">
        <v>3</v>
      </c>
      <c r="D35" t="s">
        <v>84</v>
      </c>
      <c r="E35" t="s">
        <v>87</v>
      </c>
      <c r="F35" t="s">
        <v>86</v>
      </c>
      <c r="G35">
        <v>0.90373198712706704</v>
      </c>
      <c r="H35">
        <v>2E+20</v>
      </c>
      <c r="I35">
        <v>0</v>
      </c>
      <c r="J35">
        <v>1</v>
      </c>
      <c r="K35">
        <v>1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ProjectOPERADOR_CORTENumber BusyResource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10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0.50548165778050103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0.90373198712706704</v>
      </c>
      <c r="U35">
        <f>IF((ContinuousStatsTable[[#This Row],[RepsRequested]]&gt;1),ContinuousStatsTable[[#This Row],[HalfWidth]],ContinuousStatsTable[[#This Row],[BatchMeansHalfWidth]])</f>
        <v>9.5209427409943759E-2</v>
      </c>
    </row>
    <row r="36" spans="1:21" x14ac:dyDescent="0.3">
      <c r="A36" t="s">
        <v>66</v>
      </c>
      <c r="B36" t="s">
        <v>68</v>
      </c>
      <c r="C36">
        <v>3</v>
      </c>
      <c r="D36" t="s">
        <v>84</v>
      </c>
      <c r="E36" t="s">
        <v>88</v>
      </c>
      <c r="F36" t="s">
        <v>86</v>
      </c>
      <c r="G36">
        <v>1</v>
      </c>
      <c r="H36">
        <v>2E+20</v>
      </c>
      <c r="I36">
        <v>1</v>
      </c>
      <c r="J36">
        <v>1</v>
      </c>
      <c r="K36">
        <v>1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ProjectOPERADOR_CORTENumber ScheduledResource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10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1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1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1</v>
      </c>
      <c r="U36">
        <f>IF((ContinuousStatsTable[[#This Row],[RepsRequested]]&gt;1),ContinuousStatsTable[[#This Row],[HalfWidth]],ContinuousStatsTable[[#This Row],[BatchMeansHalfWidth]])</f>
        <v>0</v>
      </c>
    </row>
    <row r="37" spans="1:21" x14ac:dyDescent="0.3">
      <c r="A37" t="s">
        <v>66</v>
      </c>
      <c r="B37" t="s">
        <v>68</v>
      </c>
      <c r="C37">
        <v>3</v>
      </c>
      <c r="D37" t="s">
        <v>89</v>
      </c>
      <c r="E37" t="s">
        <v>85</v>
      </c>
      <c r="F37" t="s">
        <v>86</v>
      </c>
      <c r="G37">
        <v>0.62082413300639605</v>
      </c>
      <c r="H37">
        <v>2E+20</v>
      </c>
      <c r="I37">
        <v>0</v>
      </c>
      <c r="J37">
        <v>1</v>
      </c>
      <c r="K37">
        <v>1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ProjectOPERADOR_LIXADEIRAInstantaneous UtilizationResource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10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0.48262851817987601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0.85064625227951796</v>
      </c>
      <c r="U37">
        <f>IF((ContinuousStatsTable[[#This Row],[RepsRequested]]&gt;1),ContinuousStatsTable[[#This Row],[HalfWidth]],ContinuousStatsTable[[#This Row],[BatchMeansHalfWidth]])</f>
        <v>8.0588572823863613E-2</v>
      </c>
    </row>
    <row r="38" spans="1:21" x14ac:dyDescent="0.3">
      <c r="A38" t="s">
        <v>66</v>
      </c>
      <c r="B38" t="s">
        <v>68</v>
      </c>
      <c r="C38">
        <v>3</v>
      </c>
      <c r="D38" t="s">
        <v>89</v>
      </c>
      <c r="E38" t="s">
        <v>87</v>
      </c>
      <c r="F38" t="s">
        <v>86</v>
      </c>
      <c r="G38">
        <v>0.62082413300639605</v>
      </c>
      <c r="H38">
        <v>2E+20</v>
      </c>
      <c r="I38">
        <v>0</v>
      </c>
      <c r="J38">
        <v>1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ProjectOPERADOR_LIXADEIRANumber BusyResource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10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0.48262851817987601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0.85064625227951796</v>
      </c>
      <c r="U38">
        <f>IF((ContinuousStatsTable[[#This Row],[RepsRequested]]&gt;1),ContinuousStatsTable[[#This Row],[HalfWidth]],ContinuousStatsTable[[#This Row],[BatchMeansHalfWidth]])</f>
        <v>8.0588572823863613E-2</v>
      </c>
    </row>
    <row r="39" spans="1:21" x14ac:dyDescent="0.3">
      <c r="A39" t="s">
        <v>66</v>
      </c>
      <c r="B39" t="s">
        <v>68</v>
      </c>
      <c r="C39">
        <v>3</v>
      </c>
      <c r="D39" t="s">
        <v>89</v>
      </c>
      <c r="E39" t="s">
        <v>88</v>
      </c>
      <c r="F39" t="s">
        <v>86</v>
      </c>
      <c r="G39">
        <v>1</v>
      </c>
      <c r="H39">
        <v>2E+20</v>
      </c>
      <c r="I39">
        <v>1</v>
      </c>
      <c r="J39">
        <v>1</v>
      </c>
      <c r="K39">
        <v>1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ProjectOPERADOR_LIXADEIRANumber ScheduledResource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10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1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1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</v>
      </c>
      <c r="U39">
        <f>IF((ContinuousStatsTable[[#This Row],[RepsRequested]]&gt;1),ContinuousStatsTable[[#This Row],[HalfWidth]],ContinuousStatsTable[[#This Row],[BatchMeansHalfWidth]])</f>
        <v>0</v>
      </c>
    </row>
    <row r="40" spans="1:21" x14ac:dyDescent="0.3">
      <c r="A40" t="s">
        <v>66</v>
      </c>
      <c r="B40" t="s">
        <v>68</v>
      </c>
      <c r="C40">
        <v>3</v>
      </c>
      <c r="D40" t="s">
        <v>90</v>
      </c>
      <c r="E40" t="s">
        <v>85</v>
      </c>
      <c r="F40" t="s">
        <v>86</v>
      </c>
      <c r="G40">
        <v>0.95388746541192004</v>
      </c>
      <c r="H40">
        <v>2E+20</v>
      </c>
      <c r="I40">
        <v>0</v>
      </c>
      <c r="J40">
        <v>1</v>
      </c>
      <c r="K40">
        <v>1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ProjectOPERADOR_TORNOInstantaneous UtilizationResource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10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0.51379543219592505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0.98397972672724299</v>
      </c>
      <c r="U40">
        <f>IF((ContinuousStatsTable[[#This Row],[RepsRequested]]&gt;1),ContinuousStatsTable[[#This Row],[HalfWidth]],ContinuousStatsTable[[#This Row],[BatchMeansHalfWidth]])</f>
        <v>9.9934848072064403E-2</v>
      </c>
    </row>
    <row r="41" spans="1:21" x14ac:dyDescent="0.3">
      <c r="A41" t="s">
        <v>66</v>
      </c>
      <c r="B41" t="s">
        <v>68</v>
      </c>
      <c r="C41">
        <v>3</v>
      </c>
      <c r="D41" t="s">
        <v>90</v>
      </c>
      <c r="E41" t="s">
        <v>87</v>
      </c>
      <c r="F41" t="s">
        <v>86</v>
      </c>
      <c r="G41">
        <v>0.95388746541192004</v>
      </c>
      <c r="H41">
        <v>2E+20</v>
      </c>
      <c r="I41">
        <v>0</v>
      </c>
      <c r="J41">
        <v>1</v>
      </c>
      <c r="K41">
        <v>1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ProjectOPERADOR_TORNONumber BusyResource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10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0.51379543219592505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0.98397972672724299</v>
      </c>
      <c r="U41">
        <f>IF((ContinuousStatsTable[[#This Row],[RepsRequested]]&gt;1),ContinuousStatsTable[[#This Row],[HalfWidth]],ContinuousStatsTable[[#This Row],[BatchMeansHalfWidth]])</f>
        <v>9.9934848072064403E-2</v>
      </c>
    </row>
    <row r="42" spans="1:21" x14ac:dyDescent="0.3">
      <c r="A42" t="s">
        <v>66</v>
      </c>
      <c r="B42" t="s">
        <v>68</v>
      </c>
      <c r="C42">
        <v>3</v>
      </c>
      <c r="D42" t="s">
        <v>90</v>
      </c>
      <c r="E42" t="s">
        <v>88</v>
      </c>
      <c r="F42" t="s">
        <v>86</v>
      </c>
      <c r="G42">
        <v>1</v>
      </c>
      <c r="H42">
        <v>2E+20</v>
      </c>
      <c r="I42">
        <v>1</v>
      </c>
      <c r="J42">
        <v>1</v>
      </c>
      <c r="K42">
        <v>1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ProjectOPERADOR_TORNONumber ScheduledResource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10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1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1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1</v>
      </c>
      <c r="U42">
        <f>IF((ContinuousStatsTable[[#This Row],[RepsRequested]]&gt;1),ContinuousStatsTable[[#This Row],[HalfWidth]],ContinuousStatsTable[[#This Row],[BatchMeansHalfWidth]])</f>
        <v>0</v>
      </c>
    </row>
    <row r="43" spans="1:21" x14ac:dyDescent="0.3">
      <c r="A43" t="s">
        <v>66</v>
      </c>
      <c r="B43" t="s">
        <v>68</v>
      </c>
      <c r="C43">
        <v>3</v>
      </c>
      <c r="D43" t="s">
        <v>91</v>
      </c>
      <c r="E43" t="s">
        <v>92</v>
      </c>
      <c r="F43" t="s">
        <v>71</v>
      </c>
      <c r="G43">
        <v>0</v>
      </c>
      <c r="H43">
        <v>2E+20</v>
      </c>
      <c r="I43">
        <v>0</v>
      </c>
      <c r="J43">
        <v>1</v>
      </c>
      <c r="K43">
        <v>0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ProjectPECAWIPEntity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10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</v>
      </c>
      <c r="U43">
        <f>IF((ContinuousStatsTable[[#This Row],[RepsRequested]]&gt;1),ContinuousStatsTable[[#This Row],[HalfWidth]],ContinuousStatsTable[[#This Row],[BatchMeansHalfWidth]])</f>
        <v>0</v>
      </c>
    </row>
    <row r="44" spans="1:21" x14ac:dyDescent="0.3">
      <c r="A44" t="s">
        <v>66</v>
      </c>
      <c r="B44" t="s">
        <v>68</v>
      </c>
      <c r="C44">
        <v>3</v>
      </c>
      <c r="D44" t="s">
        <v>69</v>
      </c>
      <c r="E44" t="s">
        <v>92</v>
      </c>
      <c r="F44" t="s">
        <v>71</v>
      </c>
      <c r="G44">
        <v>4.62111418248214</v>
      </c>
      <c r="H44">
        <v>2E+20</v>
      </c>
      <c r="I44">
        <v>0</v>
      </c>
      <c r="J44">
        <v>7</v>
      </c>
      <c r="K44">
        <v>7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ProjectPICTURE_AZULWIPEntity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10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1.7449219173007218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1.1636100327840786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0.8323964728088421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0.61587295107649098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4.62111418248214</v>
      </c>
      <c r="U44">
        <f>IF((ContinuousStatsTable[[#This Row],[RepsRequested]]&gt;1),ContinuousStatsTable[[#This Row],[HalfWidth]],ContinuousStatsTable[[#This Row],[BatchMeansHalfWidth]])</f>
        <v>0.8323964728088421</v>
      </c>
    </row>
    <row r="45" spans="1:21" x14ac:dyDescent="0.3">
      <c r="A45" t="s">
        <v>66</v>
      </c>
      <c r="B45" t="s">
        <v>68</v>
      </c>
      <c r="C45">
        <v>3</v>
      </c>
      <c r="D45" t="s">
        <v>77</v>
      </c>
      <c r="E45" t="s">
        <v>92</v>
      </c>
      <c r="F45" t="s">
        <v>71</v>
      </c>
      <c r="G45">
        <v>1.78223802117351</v>
      </c>
      <c r="H45">
        <v>2E+20</v>
      </c>
      <c r="I45">
        <v>0</v>
      </c>
      <c r="J45">
        <v>3</v>
      </c>
      <c r="K45">
        <v>3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ProjectPICTURE_VERDEWIPEntity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10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1.4932618444780983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0.52254145076226866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0.37380363545871892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0.96966120558496105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2.4913718530767301</v>
      </c>
      <c r="U45">
        <f>IF((ContinuousStatsTable[[#This Row],[RepsRequested]]&gt;1),ContinuousStatsTable[[#This Row],[HalfWidth]],ContinuousStatsTable[[#This Row],[BatchMeansHalfWidth]])</f>
        <v>0.37380363545871892</v>
      </c>
    </row>
    <row r="46" spans="1:21" x14ac:dyDescent="0.3">
      <c r="A46" t="s">
        <v>66</v>
      </c>
      <c r="B46" t="s">
        <v>68</v>
      </c>
      <c r="C46">
        <v>3</v>
      </c>
      <c r="D46" t="s">
        <v>78</v>
      </c>
      <c r="E46" t="s">
        <v>92</v>
      </c>
      <c r="F46" t="s">
        <v>71</v>
      </c>
      <c r="G46">
        <v>3.2826442810797798</v>
      </c>
      <c r="H46">
        <v>2E+20</v>
      </c>
      <c r="I46">
        <v>0</v>
      </c>
      <c r="J46">
        <v>7</v>
      </c>
      <c r="K46">
        <v>5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ProjectPICTURE_VERMELHOWIPEntity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10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1.4286586600337643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0.75640588530896835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0.54110017377262498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0.67509473200672698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3.2826442810797798</v>
      </c>
      <c r="U46">
        <f>IF((ContinuousStatsTable[[#This Row],[RepsRequested]]&gt;1),ContinuousStatsTable[[#This Row],[HalfWidth]],ContinuousStatsTable[[#This Row],[BatchMeansHalfWidth]])</f>
        <v>0.54110017377262498</v>
      </c>
    </row>
    <row r="47" spans="1:21" x14ac:dyDescent="0.3">
      <c r="A47" t="s">
        <v>66</v>
      </c>
      <c r="B47" t="s">
        <v>68</v>
      </c>
      <c r="C47">
        <v>3</v>
      </c>
      <c r="D47" t="s">
        <v>79</v>
      </c>
      <c r="E47" t="s">
        <v>93</v>
      </c>
      <c r="F47" t="s">
        <v>81</v>
      </c>
      <c r="G47">
        <v>1.0511603748162599</v>
      </c>
      <c r="H47">
        <v>2E+20</v>
      </c>
      <c r="I47">
        <v>0</v>
      </c>
      <c r="J47">
        <v>4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ProjectProcesso Cortadeira.QueueNumber WaitingQueue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10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0.53038558221716525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0.39245895765901451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0.28074822567142471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9.2510237370042006E-2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1.3344747615452</v>
      </c>
      <c r="U47">
        <f>IF((ContinuousStatsTable[[#This Row],[RepsRequested]]&gt;1),ContinuousStatsTable[[#This Row],[HalfWidth]],ContinuousStatsTable[[#This Row],[BatchMeansHalfWidth]])</f>
        <v>0.28074822567142471</v>
      </c>
    </row>
    <row r="48" spans="1:21" x14ac:dyDescent="0.3">
      <c r="A48" t="s">
        <v>66</v>
      </c>
      <c r="B48" t="s">
        <v>68</v>
      </c>
      <c r="C48">
        <v>3</v>
      </c>
      <c r="D48" t="s">
        <v>82</v>
      </c>
      <c r="E48" t="s">
        <v>93</v>
      </c>
      <c r="F48" t="s">
        <v>81</v>
      </c>
      <c r="G48">
        <v>0.227964081926703</v>
      </c>
      <c r="H48">
        <v>2E+20</v>
      </c>
      <c r="I48">
        <v>0</v>
      </c>
      <c r="J48">
        <v>2</v>
      </c>
      <c r="K48">
        <v>1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ProjectProcesso Lixadeira.QueueNumber WaitingQueue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10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0.2467605477410765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0.20931915451334221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0.14973790273305995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2.27129878205608E-2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0.74764143964657803</v>
      </c>
      <c r="U48">
        <f>IF((ContinuousStatsTable[[#This Row],[RepsRequested]]&gt;1),ContinuousStatsTable[[#This Row],[HalfWidth]],ContinuousStatsTable[[#This Row],[BatchMeansHalfWidth]])</f>
        <v>0.14973790273305995</v>
      </c>
    </row>
    <row r="49" spans="1:21" x14ac:dyDescent="0.3">
      <c r="A49" t="s">
        <v>66</v>
      </c>
      <c r="B49" t="s">
        <v>68</v>
      </c>
      <c r="C49">
        <v>3</v>
      </c>
      <c r="D49" t="s">
        <v>83</v>
      </c>
      <c r="E49" t="s">
        <v>93</v>
      </c>
      <c r="F49" t="s">
        <v>81</v>
      </c>
      <c r="G49">
        <v>5.62509510911375</v>
      </c>
      <c r="H49">
        <v>2E+20</v>
      </c>
      <c r="I49">
        <v>0</v>
      </c>
      <c r="J49">
        <v>11</v>
      </c>
      <c r="K49">
        <v>11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ProjectProcesso Torno.QueueNumber WaitingQueue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10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1.548257740428852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1.5672595927449962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1.1211499731189045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0.40125442877856599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5.62509510911375</v>
      </c>
      <c r="U49">
        <f>IF((ContinuousStatsTable[[#This Row],[RepsRequested]]&gt;1),ContinuousStatsTable[[#This Row],[HalfWidth]],ContinuousStatsTable[[#This Row],[BatchMeansHalfWidth]])</f>
        <v>1.1211499731189045</v>
      </c>
    </row>
    <row r="50" spans="1:21" x14ac:dyDescent="0.3">
      <c r="A50" t="s">
        <v>66</v>
      </c>
      <c r="B50" t="s">
        <v>68</v>
      </c>
      <c r="C50">
        <v>4</v>
      </c>
      <c r="D50" t="s">
        <v>84</v>
      </c>
      <c r="E50" t="s">
        <v>85</v>
      </c>
      <c r="F50" t="s">
        <v>86</v>
      </c>
      <c r="G50">
        <v>0.65378036651555205</v>
      </c>
      <c r="H50">
        <v>2E+20</v>
      </c>
      <c r="I50">
        <v>0</v>
      </c>
      <c r="J50">
        <v>1</v>
      </c>
      <c r="K50">
        <v>0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ProjectOPERADOR_CORTEInstantaneous UtilizationResource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10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0.50548165778050103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0.90373198712706704</v>
      </c>
      <c r="U50">
        <f>IF((ContinuousStatsTable[[#This Row],[RepsRequested]]&gt;1),ContinuousStatsTable[[#This Row],[HalfWidth]],ContinuousStatsTable[[#This Row],[BatchMeansHalfWidth]])</f>
        <v>9.5209427409943759E-2</v>
      </c>
    </row>
    <row r="51" spans="1:21" x14ac:dyDescent="0.3">
      <c r="A51" t="s">
        <v>66</v>
      </c>
      <c r="B51" t="s">
        <v>68</v>
      </c>
      <c r="C51">
        <v>4</v>
      </c>
      <c r="D51" t="s">
        <v>84</v>
      </c>
      <c r="E51" t="s">
        <v>87</v>
      </c>
      <c r="F51" t="s">
        <v>86</v>
      </c>
      <c r="G51">
        <v>0.65378036651555205</v>
      </c>
      <c r="H51">
        <v>2E+20</v>
      </c>
      <c r="I51">
        <v>0</v>
      </c>
      <c r="J51">
        <v>1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ProjectOPERADOR_CORTENumber BusyResource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10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0.50548165778050103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0.90373198712706704</v>
      </c>
      <c r="U51">
        <f>IF((ContinuousStatsTable[[#This Row],[RepsRequested]]&gt;1),ContinuousStatsTable[[#This Row],[HalfWidth]],ContinuousStatsTable[[#This Row],[BatchMeansHalfWidth]])</f>
        <v>9.5209427409943759E-2</v>
      </c>
    </row>
    <row r="52" spans="1:21" x14ac:dyDescent="0.3">
      <c r="A52" t="s">
        <v>66</v>
      </c>
      <c r="B52" t="s">
        <v>68</v>
      </c>
      <c r="C52">
        <v>4</v>
      </c>
      <c r="D52" t="s">
        <v>84</v>
      </c>
      <c r="E52" t="s">
        <v>88</v>
      </c>
      <c r="F52" t="s">
        <v>86</v>
      </c>
      <c r="G52">
        <v>1</v>
      </c>
      <c r="H52">
        <v>2E+20</v>
      </c>
      <c r="I52">
        <v>1</v>
      </c>
      <c r="J52">
        <v>1</v>
      </c>
      <c r="K52">
        <v>1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ProjectOPERADOR_CORTENumber ScheduledResource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10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1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</v>
      </c>
      <c r="U52">
        <f>IF((ContinuousStatsTable[[#This Row],[RepsRequested]]&gt;1),ContinuousStatsTable[[#This Row],[HalfWidth]],ContinuousStatsTable[[#This Row],[BatchMeansHalfWidth]])</f>
        <v>0</v>
      </c>
    </row>
    <row r="53" spans="1:21" x14ac:dyDescent="0.3">
      <c r="A53" t="s">
        <v>66</v>
      </c>
      <c r="B53" t="s">
        <v>68</v>
      </c>
      <c r="C53">
        <v>4</v>
      </c>
      <c r="D53" t="s">
        <v>89</v>
      </c>
      <c r="E53" t="s">
        <v>85</v>
      </c>
      <c r="F53" t="s">
        <v>86</v>
      </c>
      <c r="G53">
        <v>0.69758427425955605</v>
      </c>
      <c r="H53">
        <v>2E+20</v>
      </c>
      <c r="I53">
        <v>0</v>
      </c>
      <c r="J53">
        <v>1</v>
      </c>
      <c r="K53">
        <v>0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ProjectOPERADOR_LIXADEIRAInstantaneous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10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0.48262851817987601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0.85064625227951796</v>
      </c>
      <c r="U53">
        <f>IF((ContinuousStatsTable[[#This Row],[RepsRequested]]&gt;1),ContinuousStatsTable[[#This Row],[HalfWidth]],ContinuousStatsTable[[#This Row],[BatchMeansHalfWidth]])</f>
        <v>8.0588572823863613E-2</v>
      </c>
    </row>
    <row r="54" spans="1:21" x14ac:dyDescent="0.3">
      <c r="A54" t="s">
        <v>66</v>
      </c>
      <c r="B54" t="s">
        <v>68</v>
      </c>
      <c r="C54">
        <v>4</v>
      </c>
      <c r="D54" t="s">
        <v>89</v>
      </c>
      <c r="E54" t="s">
        <v>87</v>
      </c>
      <c r="F54" t="s">
        <v>86</v>
      </c>
      <c r="G54">
        <v>0.69758427425955605</v>
      </c>
      <c r="H54">
        <v>2E+20</v>
      </c>
      <c r="I54">
        <v>0</v>
      </c>
      <c r="J54">
        <v>1</v>
      </c>
      <c r="K54">
        <v>0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ProjectOPERADOR_LIXADEIRANumber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10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0.48262851817987601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0.85064625227951796</v>
      </c>
      <c r="U54">
        <f>IF((ContinuousStatsTable[[#This Row],[RepsRequested]]&gt;1),ContinuousStatsTable[[#This Row],[HalfWidth]],ContinuousStatsTable[[#This Row],[BatchMeansHalfWidth]])</f>
        <v>8.0588572823863613E-2</v>
      </c>
    </row>
    <row r="55" spans="1:21" x14ac:dyDescent="0.3">
      <c r="A55" t="s">
        <v>66</v>
      </c>
      <c r="B55" t="s">
        <v>68</v>
      </c>
      <c r="C55">
        <v>4</v>
      </c>
      <c r="D55" t="s">
        <v>89</v>
      </c>
      <c r="E55" t="s">
        <v>88</v>
      </c>
      <c r="F55" t="s">
        <v>86</v>
      </c>
      <c r="G55">
        <v>1</v>
      </c>
      <c r="H55">
        <v>2E+20</v>
      </c>
      <c r="I55">
        <v>1</v>
      </c>
      <c r="J55">
        <v>1</v>
      </c>
      <c r="K55">
        <v>1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ProjectOPERADOR_LIXADEIRANumber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10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1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1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1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4</v>
      </c>
      <c r="D56" t="s">
        <v>90</v>
      </c>
      <c r="E56" t="s">
        <v>85</v>
      </c>
      <c r="F56" t="s">
        <v>86</v>
      </c>
      <c r="G56">
        <v>0.83254347548485497</v>
      </c>
      <c r="H56">
        <v>2E+20</v>
      </c>
      <c r="I56">
        <v>0</v>
      </c>
      <c r="J56">
        <v>1</v>
      </c>
      <c r="K56">
        <v>1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ProjectOPERADOR_TORNOInstantaneous UtilizationResource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10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0.51379543219592505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0.98397972672724299</v>
      </c>
      <c r="U56">
        <f>IF((ContinuousStatsTable[[#This Row],[RepsRequested]]&gt;1),ContinuousStatsTable[[#This Row],[HalfWidth]],ContinuousStatsTable[[#This Row],[BatchMeansHalfWidth]])</f>
        <v>9.9934848072064403E-2</v>
      </c>
    </row>
    <row r="57" spans="1:21" x14ac:dyDescent="0.3">
      <c r="A57" t="s">
        <v>66</v>
      </c>
      <c r="B57" t="s">
        <v>68</v>
      </c>
      <c r="C57">
        <v>4</v>
      </c>
      <c r="D57" t="s">
        <v>90</v>
      </c>
      <c r="E57" t="s">
        <v>87</v>
      </c>
      <c r="F57" t="s">
        <v>86</v>
      </c>
      <c r="G57">
        <v>0.83254347548485497</v>
      </c>
      <c r="H57">
        <v>2E+20</v>
      </c>
      <c r="I57">
        <v>0</v>
      </c>
      <c r="J57">
        <v>1</v>
      </c>
      <c r="K57">
        <v>1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ProjectOPERADOR_TORNONumber BusyResource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10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0.51379543219592505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0.98397972672724299</v>
      </c>
      <c r="U57">
        <f>IF((ContinuousStatsTable[[#This Row],[RepsRequested]]&gt;1),ContinuousStatsTable[[#This Row],[HalfWidth]],ContinuousStatsTable[[#This Row],[BatchMeansHalfWidth]])</f>
        <v>9.9934848072064403E-2</v>
      </c>
    </row>
    <row r="58" spans="1:21" x14ac:dyDescent="0.3">
      <c r="A58" t="s">
        <v>66</v>
      </c>
      <c r="B58" t="s">
        <v>68</v>
      </c>
      <c r="C58">
        <v>4</v>
      </c>
      <c r="D58" t="s">
        <v>90</v>
      </c>
      <c r="E58" t="s">
        <v>88</v>
      </c>
      <c r="F58" t="s">
        <v>86</v>
      </c>
      <c r="G58">
        <v>1</v>
      </c>
      <c r="H58">
        <v>2E+20</v>
      </c>
      <c r="I58">
        <v>1</v>
      </c>
      <c r="J58">
        <v>1</v>
      </c>
      <c r="K58">
        <v>1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ProjectOPERADOR_TORNONumber ScheduledResource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10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1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1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1</v>
      </c>
      <c r="U58">
        <f>IF((ContinuousStatsTable[[#This Row],[RepsRequested]]&gt;1),ContinuousStatsTable[[#This Row],[HalfWidth]],ContinuousStatsTable[[#This Row],[BatchMeansHalfWidth]])</f>
        <v>0</v>
      </c>
    </row>
    <row r="59" spans="1:21" x14ac:dyDescent="0.3">
      <c r="A59" t="s">
        <v>66</v>
      </c>
      <c r="B59" t="s">
        <v>68</v>
      </c>
      <c r="C59">
        <v>4</v>
      </c>
      <c r="D59" t="s">
        <v>91</v>
      </c>
      <c r="E59" t="s">
        <v>92</v>
      </c>
      <c r="F59" t="s">
        <v>71</v>
      </c>
      <c r="G59">
        <v>0</v>
      </c>
      <c r="H59">
        <v>2E+20</v>
      </c>
      <c r="I59">
        <v>0</v>
      </c>
      <c r="J59">
        <v>1</v>
      </c>
      <c r="K59">
        <v>0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ProjectPECAWIPEntity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10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0</v>
      </c>
      <c r="U59">
        <f>IF((ContinuousStatsTable[[#This Row],[RepsRequested]]&gt;1),ContinuousStatsTable[[#This Row],[HalfWidth]],ContinuousStatsTable[[#This Row],[BatchMeansHalfWidth]])</f>
        <v>0</v>
      </c>
    </row>
    <row r="60" spans="1:21" x14ac:dyDescent="0.3">
      <c r="A60" t="s">
        <v>66</v>
      </c>
      <c r="B60" t="s">
        <v>68</v>
      </c>
      <c r="C60">
        <v>4</v>
      </c>
      <c r="D60" t="s">
        <v>69</v>
      </c>
      <c r="E60" t="s">
        <v>92</v>
      </c>
      <c r="F60" t="s">
        <v>71</v>
      </c>
      <c r="G60">
        <v>1.3908820569653499</v>
      </c>
      <c r="H60">
        <v>2E+20</v>
      </c>
      <c r="I60">
        <v>0</v>
      </c>
      <c r="J60">
        <v>4</v>
      </c>
      <c r="K60">
        <v>3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ProjectPICTURE_AZULWIPEntity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10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1.7449219173007218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1.1636100327840786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0.8323964728088421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0.61587295107649098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4.62111418248214</v>
      </c>
      <c r="U60">
        <f>IF((ContinuousStatsTable[[#This Row],[RepsRequested]]&gt;1),ContinuousStatsTable[[#This Row],[HalfWidth]],ContinuousStatsTable[[#This Row],[BatchMeansHalfWidth]])</f>
        <v>0.8323964728088421</v>
      </c>
    </row>
    <row r="61" spans="1:21" x14ac:dyDescent="0.3">
      <c r="A61" t="s">
        <v>66</v>
      </c>
      <c r="B61" t="s">
        <v>68</v>
      </c>
      <c r="C61">
        <v>4</v>
      </c>
      <c r="D61" t="s">
        <v>77</v>
      </c>
      <c r="E61" t="s">
        <v>92</v>
      </c>
      <c r="F61" t="s">
        <v>71</v>
      </c>
      <c r="G61">
        <v>1.9183357585044101</v>
      </c>
      <c r="H61">
        <v>2E+20</v>
      </c>
      <c r="I61">
        <v>0</v>
      </c>
      <c r="J61">
        <v>5</v>
      </c>
      <c r="K61">
        <v>1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ProjectPICTURE_VERDEWIPEntity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10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1.4932618444780983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0.52254145076226866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0.37380363545871892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0.96966120558496105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2.4913718530767301</v>
      </c>
      <c r="U61">
        <f>IF((ContinuousStatsTable[[#This Row],[RepsRequested]]&gt;1),ContinuousStatsTable[[#This Row],[HalfWidth]],ContinuousStatsTable[[#This Row],[BatchMeansHalfWidth]])</f>
        <v>0.37380363545871892</v>
      </c>
    </row>
    <row r="62" spans="1:21" x14ac:dyDescent="0.3">
      <c r="A62" t="s">
        <v>66</v>
      </c>
      <c r="B62" t="s">
        <v>68</v>
      </c>
      <c r="C62">
        <v>4</v>
      </c>
      <c r="D62" t="s">
        <v>78</v>
      </c>
      <c r="E62" t="s">
        <v>92</v>
      </c>
      <c r="F62" t="s">
        <v>71</v>
      </c>
      <c r="G62">
        <v>0.67509473200672698</v>
      </c>
      <c r="H62">
        <v>2E+20</v>
      </c>
      <c r="I62">
        <v>0</v>
      </c>
      <c r="J62">
        <v>1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ProjectPICTURE_VERMELHOWIPEntity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10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1.4286586600337643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0.75640588530896835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0.54110017377262498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0.67509473200672698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3.2826442810797798</v>
      </c>
      <c r="U62">
        <f>IF((ContinuousStatsTable[[#This Row],[RepsRequested]]&gt;1),ContinuousStatsTable[[#This Row],[HalfWidth]],ContinuousStatsTable[[#This Row],[BatchMeansHalfWidth]])</f>
        <v>0.54110017377262498</v>
      </c>
    </row>
    <row r="63" spans="1:21" x14ac:dyDescent="0.3">
      <c r="A63" t="s">
        <v>66</v>
      </c>
      <c r="B63" t="s">
        <v>68</v>
      </c>
      <c r="C63">
        <v>4</v>
      </c>
      <c r="D63" t="s">
        <v>79</v>
      </c>
      <c r="E63" t="s">
        <v>93</v>
      </c>
      <c r="F63" t="s">
        <v>81</v>
      </c>
      <c r="G63">
        <v>0.32918032667587099</v>
      </c>
      <c r="H63">
        <v>2E+20</v>
      </c>
      <c r="I63">
        <v>0</v>
      </c>
      <c r="J63">
        <v>2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ProjectProcesso Cortadeira.QueueNumber WaitingQueue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10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0.53038558221716525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0.39245895765901451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0.28074822567142471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9.2510237370042006E-2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1.3344747615452</v>
      </c>
      <c r="U63">
        <f>IF((ContinuousStatsTable[[#This Row],[RepsRequested]]&gt;1),ContinuousStatsTable[[#This Row],[HalfWidth]],ContinuousStatsTable[[#This Row],[BatchMeansHalfWidth]])</f>
        <v>0.28074822567142471</v>
      </c>
    </row>
    <row r="64" spans="1:21" x14ac:dyDescent="0.3">
      <c r="A64" t="s">
        <v>66</v>
      </c>
      <c r="B64" t="s">
        <v>68</v>
      </c>
      <c r="C64">
        <v>4</v>
      </c>
      <c r="D64" t="s">
        <v>82</v>
      </c>
      <c r="E64" t="s">
        <v>93</v>
      </c>
      <c r="F64" t="s">
        <v>81</v>
      </c>
      <c r="G64">
        <v>0.450820727543158</v>
      </c>
      <c r="H64">
        <v>2E+20</v>
      </c>
      <c r="I64">
        <v>0</v>
      </c>
      <c r="J64">
        <v>2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ProjectProcesso Lixadeira.QueueNumber WaitingQueue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10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0.2467605477410765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0.20931915451334221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0.14973790273305995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2.27129878205608E-2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0.74764143964657803</v>
      </c>
      <c r="U64">
        <f>IF((ContinuousStatsTable[[#This Row],[RepsRequested]]&gt;1),ContinuousStatsTable[[#This Row],[HalfWidth]],ContinuousStatsTable[[#This Row],[BatchMeansHalfWidth]])</f>
        <v>0.14973790273305995</v>
      </c>
    </row>
    <row r="65" spans="1:21" x14ac:dyDescent="0.3">
      <c r="A65" t="s">
        <v>66</v>
      </c>
      <c r="B65" t="s">
        <v>68</v>
      </c>
      <c r="C65">
        <v>4</v>
      </c>
      <c r="D65" t="s">
        <v>83</v>
      </c>
      <c r="E65" t="s">
        <v>93</v>
      </c>
      <c r="F65" t="s">
        <v>81</v>
      </c>
      <c r="G65">
        <v>0.77659367202541696</v>
      </c>
      <c r="H65">
        <v>2E+20</v>
      </c>
      <c r="I65">
        <v>0</v>
      </c>
      <c r="J65">
        <v>3</v>
      </c>
      <c r="K65">
        <v>2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ProjectProcesso Torno.QueueNumber WaitingQueue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10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1.548257740428852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1.5672595927449962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1.1211499731189045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0.40125442877856599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5.62509510911375</v>
      </c>
      <c r="U65">
        <f>IF((ContinuousStatsTable[[#This Row],[RepsRequested]]&gt;1),ContinuousStatsTable[[#This Row],[HalfWidth]],ContinuousStatsTable[[#This Row],[BatchMeansHalfWidth]])</f>
        <v>1.1211499731189045</v>
      </c>
    </row>
    <row r="66" spans="1:21" x14ac:dyDescent="0.3">
      <c r="A66" t="s">
        <v>66</v>
      </c>
      <c r="B66" t="s">
        <v>68</v>
      </c>
      <c r="C66">
        <v>5</v>
      </c>
      <c r="D66" t="s">
        <v>84</v>
      </c>
      <c r="E66" t="s">
        <v>85</v>
      </c>
      <c r="F66" t="s">
        <v>86</v>
      </c>
      <c r="G66">
        <v>0.68255617492868403</v>
      </c>
      <c r="H66">
        <v>2E+20</v>
      </c>
      <c r="I66">
        <v>0</v>
      </c>
      <c r="J66">
        <v>1</v>
      </c>
      <c r="K66">
        <v>1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ProjectOPERADOR_CORTEInstantaneous UtilizationResource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10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0.50548165778050103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0.90373198712706704</v>
      </c>
      <c r="U66">
        <f>IF((ContinuousStatsTable[[#This Row],[RepsRequested]]&gt;1),ContinuousStatsTable[[#This Row],[HalfWidth]],ContinuousStatsTable[[#This Row],[BatchMeansHalfWidth]])</f>
        <v>9.5209427409943759E-2</v>
      </c>
    </row>
    <row r="67" spans="1:21" x14ac:dyDescent="0.3">
      <c r="A67" t="s">
        <v>66</v>
      </c>
      <c r="B67" t="s">
        <v>68</v>
      </c>
      <c r="C67">
        <v>5</v>
      </c>
      <c r="D67" t="s">
        <v>84</v>
      </c>
      <c r="E67" t="s">
        <v>87</v>
      </c>
      <c r="F67" t="s">
        <v>86</v>
      </c>
      <c r="G67">
        <v>0.68255617492868403</v>
      </c>
      <c r="H67">
        <v>2E+20</v>
      </c>
      <c r="I67">
        <v>0</v>
      </c>
      <c r="J67">
        <v>1</v>
      </c>
      <c r="K67">
        <v>1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ProjectOPERADOR_CORTENumber BusyResource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10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0.50548165778050103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0.90373198712706704</v>
      </c>
      <c r="U67">
        <f>IF((ContinuousStatsTable[[#This Row],[RepsRequested]]&gt;1),ContinuousStatsTable[[#This Row],[HalfWidth]],ContinuousStatsTable[[#This Row],[BatchMeansHalfWidth]])</f>
        <v>9.5209427409943759E-2</v>
      </c>
    </row>
    <row r="68" spans="1:21" x14ac:dyDescent="0.3">
      <c r="A68" t="s">
        <v>66</v>
      </c>
      <c r="B68" t="s">
        <v>68</v>
      </c>
      <c r="C68">
        <v>5</v>
      </c>
      <c r="D68" t="s">
        <v>84</v>
      </c>
      <c r="E68" t="s">
        <v>88</v>
      </c>
      <c r="F68" t="s">
        <v>86</v>
      </c>
      <c r="G68">
        <v>1</v>
      </c>
      <c r="H68">
        <v>2E+20</v>
      </c>
      <c r="I68">
        <v>1</v>
      </c>
      <c r="J68">
        <v>1</v>
      </c>
      <c r="K68">
        <v>1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ProjectOPERADOR_CORTENumber ScheduledResource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10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1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1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1</v>
      </c>
      <c r="U68">
        <f>IF((ContinuousStatsTable[[#This Row],[RepsRequested]]&gt;1),ContinuousStatsTable[[#This Row],[HalfWidth]],ContinuousStatsTable[[#This Row],[BatchMeansHalfWidth]])</f>
        <v>0</v>
      </c>
    </row>
    <row r="69" spans="1:21" x14ac:dyDescent="0.3">
      <c r="A69" t="s">
        <v>66</v>
      </c>
      <c r="B69" t="s">
        <v>68</v>
      </c>
      <c r="C69">
        <v>5</v>
      </c>
      <c r="D69" t="s">
        <v>89</v>
      </c>
      <c r="E69" t="s">
        <v>85</v>
      </c>
      <c r="F69" t="s">
        <v>86</v>
      </c>
      <c r="G69">
        <v>0.58586692594735201</v>
      </c>
      <c r="H69">
        <v>2E+20</v>
      </c>
      <c r="I69">
        <v>0</v>
      </c>
      <c r="J69">
        <v>1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ProjectOPERADOR_LIXADEIRAInstantaneous UtilizationResource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10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0.48262851817987601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0.85064625227951796</v>
      </c>
      <c r="U69">
        <f>IF((ContinuousStatsTable[[#This Row],[RepsRequested]]&gt;1),ContinuousStatsTable[[#This Row],[HalfWidth]],ContinuousStatsTable[[#This Row],[BatchMeansHalfWidth]])</f>
        <v>8.0588572823863613E-2</v>
      </c>
    </row>
    <row r="70" spans="1:21" x14ac:dyDescent="0.3">
      <c r="A70" t="s">
        <v>66</v>
      </c>
      <c r="B70" t="s">
        <v>68</v>
      </c>
      <c r="C70">
        <v>5</v>
      </c>
      <c r="D70" t="s">
        <v>89</v>
      </c>
      <c r="E70" t="s">
        <v>87</v>
      </c>
      <c r="F70" t="s">
        <v>86</v>
      </c>
      <c r="G70">
        <v>0.58586692594735201</v>
      </c>
      <c r="H70">
        <v>2E+20</v>
      </c>
      <c r="I70">
        <v>0</v>
      </c>
      <c r="J70">
        <v>1</v>
      </c>
      <c r="K70">
        <v>1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ProjectOPERADOR_LIXADEIRANumber BusyResource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10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0.48262851817987601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0.85064625227951796</v>
      </c>
      <c r="U70">
        <f>IF((ContinuousStatsTable[[#This Row],[RepsRequested]]&gt;1),ContinuousStatsTable[[#This Row],[HalfWidth]],ContinuousStatsTable[[#This Row],[BatchMeansHalfWidth]])</f>
        <v>8.0588572823863613E-2</v>
      </c>
    </row>
    <row r="71" spans="1:21" x14ac:dyDescent="0.3">
      <c r="A71" t="s">
        <v>66</v>
      </c>
      <c r="B71" t="s">
        <v>68</v>
      </c>
      <c r="C71">
        <v>5</v>
      </c>
      <c r="D71" t="s">
        <v>89</v>
      </c>
      <c r="E71" t="s">
        <v>88</v>
      </c>
      <c r="F71" t="s">
        <v>86</v>
      </c>
      <c r="G71">
        <v>1</v>
      </c>
      <c r="H71">
        <v>2E+20</v>
      </c>
      <c r="I71">
        <v>1</v>
      </c>
      <c r="J71">
        <v>1</v>
      </c>
      <c r="K71">
        <v>1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ProjectOPERADOR_LIXADEIRANumber ScheduledResource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10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1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1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1</v>
      </c>
      <c r="U71">
        <f>IF((ContinuousStatsTable[[#This Row],[RepsRequested]]&gt;1),ContinuousStatsTable[[#This Row],[HalfWidth]],ContinuousStatsTable[[#This Row],[BatchMeansHalfWidth]])</f>
        <v>0</v>
      </c>
    </row>
    <row r="72" spans="1:21" x14ac:dyDescent="0.3">
      <c r="A72" t="s">
        <v>66</v>
      </c>
      <c r="B72" t="s">
        <v>68</v>
      </c>
      <c r="C72">
        <v>5</v>
      </c>
      <c r="D72" t="s">
        <v>90</v>
      </c>
      <c r="E72" t="s">
        <v>85</v>
      </c>
      <c r="F72" t="s">
        <v>86</v>
      </c>
      <c r="G72">
        <v>0.94296201788507406</v>
      </c>
      <c r="H72">
        <v>2E+20</v>
      </c>
      <c r="I72">
        <v>0</v>
      </c>
      <c r="J72">
        <v>1</v>
      </c>
      <c r="K72">
        <v>1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ProjectOPERADOR_TORNOInstantaneous UtilizationResource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10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0.51379543219592505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0.98397972672724299</v>
      </c>
      <c r="U72">
        <f>IF((ContinuousStatsTable[[#This Row],[RepsRequested]]&gt;1),ContinuousStatsTable[[#This Row],[HalfWidth]],ContinuousStatsTable[[#This Row],[BatchMeansHalfWidth]])</f>
        <v>9.9934848072064403E-2</v>
      </c>
    </row>
    <row r="73" spans="1:21" x14ac:dyDescent="0.3">
      <c r="A73" t="s">
        <v>66</v>
      </c>
      <c r="B73" t="s">
        <v>68</v>
      </c>
      <c r="C73">
        <v>5</v>
      </c>
      <c r="D73" t="s">
        <v>90</v>
      </c>
      <c r="E73" t="s">
        <v>87</v>
      </c>
      <c r="F73" t="s">
        <v>86</v>
      </c>
      <c r="G73">
        <v>0.94296201788507406</v>
      </c>
      <c r="H73">
        <v>2E+20</v>
      </c>
      <c r="I73">
        <v>0</v>
      </c>
      <c r="J73">
        <v>1</v>
      </c>
      <c r="K73">
        <v>1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ProjectOPERADOR_TORNONumber BusyResource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10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0.51379543219592505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0.98397972672724299</v>
      </c>
      <c r="U73">
        <f>IF((ContinuousStatsTable[[#This Row],[RepsRequested]]&gt;1),ContinuousStatsTable[[#This Row],[HalfWidth]],ContinuousStatsTable[[#This Row],[BatchMeansHalfWidth]])</f>
        <v>9.9934848072064403E-2</v>
      </c>
    </row>
    <row r="74" spans="1:21" x14ac:dyDescent="0.3">
      <c r="A74" t="s">
        <v>66</v>
      </c>
      <c r="B74" t="s">
        <v>68</v>
      </c>
      <c r="C74">
        <v>5</v>
      </c>
      <c r="D74" t="s">
        <v>90</v>
      </c>
      <c r="E74" t="s">
        <v>88</v>
      </c>
      <c r="F74" t="s">
        <v>86</v>
      </c>
      <c r="G74">
        <v>1</v>
      </c>
      <c r="H74">
        <v>2E+20</v>
      </c>
      <c r="I74">
        <v>1</v>
      </c>
      <c r="J74">
        <v>1</v>
      </c>
      <c r="K74">
        <v>1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ProjectOPERADOR_TORNONumber ScheduledResource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10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1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1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</v>
      </c>
      <c r="U74">
        <f>IF((ContinuousStatsTable[[#This Row],[RepsRequested]]&gt;1),ContinuousStatsTable[[#This Row],[HalfWidth]],ContinuousStatsTable[[#This Row],[BatchMeansHalfWidth]])</f>
        <v>0</v>
      </c>
    </row>
    <row r="75" spans="1:21" x14ac:dyDescent="0.3">
      <c r="A75" t="s">
        <v>66</v>
      </c>
      <c r="B75" t="s">
        <v>68</v>
      </c>
      <c r="C75">
        <v>5</v>
      </c>
      <c r="D75" t="s">
        <v>91</v>
      </c>
      <c r="E75" t="s">
        <v>92</v>
      </c>
      <c r="F75" t="s">
        <v>71</v>
      </c>
      <c r="G75">
        <v>0</v>
      </c>
      <c r="H75">
        <v>2E+20</v>
      </c>
      <c r="I75">
        <v>0</v>
      </c>
      <c r="J75">
        <v>1</v>
      </c>
      <c r="K75">
        <v>0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ProjectPECAWIPEntity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10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0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0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0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5</v>
      </c>
      <c r="D76" t="s">
        <v>69</v>
      </c>
      <c r="E76" t="s">
        <v>92</v>
      </c>
      <c r="F76" t="s">
        <v>71</v>
      </c>
      <c r="G76">
        <v>2.1901503035737502</v>
      </c>
      <c r="H76">
        <v>2E+20</v>
      </c>
      <c r="I76">
        <v>0</v>
      </c>
      <c r="J76">
        <v>5</v>
      </c>
      <c r="K76">
        <v>4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ProjectPICTURE_AZULWIPEntity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10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1.7449219173007218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1.1636100327840786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0.8323964728088421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0.61587295107649098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4.62111418248214</v>
      </c>
      <c r="U76">
        <f>IF((ContinuousStatsTable[[#This Row],[RepsRequested]]&gt;1),ContinuousStatsTable[[#This Row],[HalfWidth]],ContinuousStatsTable[[#This Row],[BatchMeansHalfWidth]])</f>
        <v>0.8323964728088421</v>
      </c>
    </row>
    <row r="77" spans="1:21" x14ac:dyDescent="0.3">
      <c r="A77" t="s">
        <v>66</v>
      </c>
      <c r="B77" t="s">
        <v>68</v>
      </c>
      <c r="C77">
        <v>5</v>
      </c>
      <c r="D77" t="s">
        <v>77</v>
      </c>
      <c r="E77" t="s">
        <v>92</v>
      </c>
      <c r="F77" t="s">
        <v>71</v>
      </c>
      <c r="G77">
        <v>1.23631413752723</v>
      </c>
      <c r="H77">
        <v>2E+20</v>
      </c>
      <c r="I77">
        <v>0</v>
      </c>
      <c r="J77">
        <v>4</v>
      </c>
      <c r="K77">
        <v>2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ProjectPICTURE_VERDEWIPEntity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10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1.4932618444780983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0.52254145076226866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0.37380363545871892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0.96966120558496105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2.4913718530767301</v>
      </c>
      <c r="U77">
        <f>IF((ContinuousStatsTable[[#This Row],[RepsRequested]]&gt;1),ContinuousStatsTable[[#This Row],[HalfWidth]],ContinuousStatsTable[[#This Row],[BatchMeansHalfWidth]])</f>
        <v>0.37380363545871892</v>
      </c>
    </row>
    <row r="78" spans="1:21" x14ac:dyDescent="0.3">
      <c r="A78" t="s">
        <v>66</v>
      </c>
      <c r="B78" t="s">
        <v>68</v>
      </c>
      <c r="C78">
        <v>5</v>
      </c>
      <c r="D78" t="s">
        <v>78</v>
      </c>
      <c r="E78" t="s">
        <v>92</v>
      </c>
      <c r="F78" t="s">
        <v>71</v>
      </c>
      <c r="G78">
        <v>1.8742679954772701</v>
      </c>
      <c r="H78">
        <v>2E+20</v>
      </c>
      <c r="I78">
        <v>0</v>
      </c>
      <c r="J78">
        <v>4</v>
      </c>
      <c r="K78">
        <v>2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ProjectPICTURE_VERMELHOWIPEntity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10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1.4286586600337643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0.75640588530896835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0.54110017377262498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0.67509473200672698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3.2826442810797798</v>
      </c>
      <c r="U78">
        <f>IF((ContinuousStatsTable[[#This Row],[RepsRequested]]&gt;1),ContinuousStatsTable[[#This Row],[HalfWidth]],ContinuousStatsTable[[#This Row],[BatchMeansHalfWidth]])</f>
        <v>0.54110017377262498</v>
      </c>
    </row>
    <row r="79" spans="1:21" x14ac:dyDescent="0.3">
      <c r="A79" t="s">
        <v>66</v>
      </c>
      <c r="B79" t="s">
        <v>68</v>
      </c>
      <c r="C79">
        <v>5</v>
      </c>
      <c r="D79" t="s">
        <v>79</v>
      </c>
      <c r="E79" t="s">
        <v>93</v>
      </c>
      <c r="F79" t="s">
        <v>81</v>
      </c>
      <c r="G79">
        <v>0.59149889725034999</v>
      </c>
      <c r="H79">
        <v>2E+20</v>
      </c>
      <c r="I79">
        <v>0</v>
      </c>
      <c r="J79">
        <v>3</v>
      </c>
      <c r="K79">
        <v>0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ProjectProcesso Cortadeira.QueueNumber WaitingQueue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10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0.53038558221716525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0.39245895765901451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0.28074822567142471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9.2510237370042006E-2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1.3344747615452</v>
      </c>
      <c r="U79">
        <f>IF((ContinuousStatsTable[[#This Row],[RepsRequested]]&gt;1),ContinuousStatsTable[[#This Row],[HalfWidth]],ContinuousStatsTable[[#This Row],[BatchMeansHalfWidth]])</f>
        <v>0.28074822567142471</v>
      </c>
    </row>
    <row r="80" spans="1:21" x14ac:dyDescent="0.3">
      <c r="A80" t="s">
        <v>66</v>
      </c>
      <c r="B80" t="s">
        <v>68</v>
      </c>
      <c r="C80">
        <v>5</v>
      </c>
      <c r="D80" t="s">
        <v>82</v>
      </c>
      <c r="E80" t="s">
        <v>93</v>
      </c>
      <c r="F80" t="s">
        <v>81</v>
      </c>
      <c r="G80">
        <v>0.20108325428509</v>
      </c>
      <c r="H80">
        <v>2E+20</v>
      </c>
      <c r="I80">
        <v>0</v>
      </c>
      <c r="J80">
        <v>2</v>
      </c>
      <c r="K80">
        <v>1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ProjectProcesso Lixadeira.QueueNumber WaitingQueue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10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0.2467605477410765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0.20931915451334221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0.14973790273305995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2.27129878205608E-2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0.74764143964657803</v>
      </c>
      <c r="U80">
        <f>IF((ContinuousStatsTable[[#This Row],[RepsRequested]]&gt;1),ContinuousStatsTable[[#This Row],[HalfWidth]],ContinuousStatsTable[[#This Row],[BatchMeansHalfWidth]])</f>
        <v>0.14973790273305995</v>
      </c>
    </row>
    <row r="81" spans="1:21" x14ac:dyDescent="0.3">
      <c r="A81" t="s">
        <v>66</v>
      </c>
      <c r="B81" t="s">
        <v>68</v>
      </c>
      <c r="C81">
        <v>5</v>
      </c>
      <c r="D81" t="s">
        <v>83</v>
      </c>
      <c r="E81" t="s">
        <v>93</v>
      </c>
      <c r="F81" t="s">
        <v>81</v>
      </c>
      <c r="G81">
        <v>2.03009849961503</v>
      </c>
      <c r="H81">
        <v>2E+20</v>
      </c>
      <c r="I81">
        <v>0</v>
      </c>
      <c r="J81">
        <v>5</v>
      </c>
      <c r="K81">
        <v>4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ProjectProcesso Torno.QueueNumber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10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1.548257740428852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1.5672595927449962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1.1211499731189045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0.40125442877856599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5.62509510911375</v>
      </c>
      <c r="U81">
        <f>IF((ContinuousStatsTable[[#This Row],[RepsRequested]]&gt;1),ContinuousStatsTable[[#This Row],[HalfWidth]],ContinuousStatsTable[[#This Row],[BatchMeansHalfWidth]])</f>
        <v>1.1211499731189045</v>
      </c>
    </row>
    <row r="82" spans="1:21" x14ac:dyDescent="0.3">
      <c r="A82" t="s">
        <v>66</v>
      </c>
      <c r="B82" t="s">
        <v>68</v>
      </c>
      <c r="C82">
        <v>6</v>
      </c>
      <c r="D82" t="s">
        <v>84</v>
      </c>
      <c r="E82" t="s">
        <v>85</v>
      </c>
      <c r="F82" t="s">
        <v>86</v>
      </c>
      <c r="G82">
        <v>0.50548165778050103</v>
      </c>
      <c r="H82">
        <v>2E+20</v>
      </c>
      <c r="I82">
        <v>0</v>
      </c>
      <c r="J82">
        <v>1</v>
      </c>
      <c r="K82">
        <v>1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ProjectOPERADOR_CORTEInstantaneous UtilizationResource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10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0.50548165778050103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0.90373198712706704</v>
      </c>
      <c r="U82">
        <f>IF((ContinuousStatsTable[[#This Row],[RepsRequested]]&gt;1),ContinuousStatsTable[[#This Row],[HalfWidth]],ContinuousStatsTable[[#This Row],[BatchMeansHalfWidth]])</f>
        <v>9.5209427409943759E-2</v>
      </c>
    </row>
    <row r="83" spans="1:21" x14ac:dyDescent="0.3">
      <c r="A83" t="s">
        <v>66</v>
      </c>
      <c r="B83" t="s">
        <v>68</v>
      </c>
      <c r="C83">
        <v>6</v>
      </c>
      <c r="D83" t="s">
        <v>84</v>
      </c>
      <c r="E83" t="s">
        <v>87</v>
      </c>
      <c r="F83" t="s">
        <v>86</v>
      </c>
      <c r="G83">
        <v>0.50548165778050103</v>
      </c>
      <c r="H83">
        <v>2E+20</v>
      </c>
      <c r="I83">
        <v>0</v>
      </c>
      <c r="J83">
        <v>1</v>
      </c>
      <c r="K83">
        <v>1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ProjectOPERADOR_CORTENumber BusyResource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10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0.50548165778050103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0.90373198712706704</v>
      </c>
      <c r="U83">
        <f>IF((ContinuousStatsTable[[#This Row],[RepsRequested]]&gt;1),ContinuousStatsTable[[#This Row],[HalfWidth]],ContinuousStatsTable[[#This Row],[BatchMeansHalfWidth]])</f>
        <v>9.5209427409943759E-2</v>
      </c>
    </row>
    <row r="84" spans="1:21" x14ac:dyDescent="0.3">
      <c r="A84" t="s">
        <v>66</v>
      </c>
      <c r="B84" t="s">
        <v>68</v>
      </c>
      <c r="C84">
        <v>6</v>
      </c>
      <c r="D84" t="s">
        <v>84</v>
      </c>
      <c r="E84" t="s">
        <v>88</v>
      </c>
      <c r="F84" t="s">
        <v>86</v>
      </c>
      <c r="G84">
        <v>1</v>
      </c>
      <c r="H84">
        <v>2E+20</v>
      </c>
      <c r="I84">
        <v>1</v>
      </c>
      <c r="J84">
        <v>1</v>
      </c>
      <c r="K84">
        <v>1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ProjectOPERADOR_CORTENumber ScheduledResource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10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1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1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</v>
      </c>
      <c r="U84">
        <f>IF((ContinuousStatsTable[[#This Row],[RepsRequested]]&gt;1),ContinuousStatsTable[[#This Row],[HalfWidth]],ContinuousStatsTable[[#This Row],[BatchMeansHalfWidth]])</f>
        <v>0</v>
      </c>
    </row>
    <row r="85" spans="1:21" x14ac:dyDescent="0.3">
      <c r="A85" t="s">
        <v>66</v>
      </c>
      <c r="B85" t="s">
        <v>68</v>
      </c>
      <c r="C85">
        <v>6</v>
      </c>
      <c r="D85" t="s">
        <v>89</v>
      </c>
      <c r="E85" t="s">
        <v>85</v>
      </c>
      <c r="F85" t="s">
        <v>86</v>
      </c>
      <c r="G85">
        <v>0.515187936390896</v>
      </c>
      <c r="H85">
        <v>2E+20</v>
      </c>
      <c r="I85">
        <v>0</v>
      </c>
      <c r="J85">
        <v>1</v>
      </c>
      <c r="K85">
        <v>0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ProjectOPERADOR_LIXADEIRAInstantaneous UtilizationResource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10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0.48262851817987601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0.85064625227951796</v>
      </c>
      <c r="U85">
        <f>IF((ContinuousStatsTable[[#This Row],[RepsRequested]]&gt;1),ContinuousStatsTable[[#This Row],[HalfWidth]],ContinuousStatsTable[[#This Row],[BatchMeansHalfWidth]])</f>
        <v>8.0588572823863613E-2</v>
      </c>
    </row>
    <row r="86" spans="1:21" x14ac:dyDescent="0.3">
      <c r="A86" t="s">
        <v>66</v>
      </c>
      <c r="B86" t="s">
        <v>68</v>
      </c>
      <c r="C86">
        <v>6</v>
      </c>
      <c r="D86" t="s">
        <v>89</v>
      </c>
      <c r="E86" t="s">
        <v>87</v>
      </c>
      <c r="F86" t="s">
        <v>86</v>
      </c>
      <c r="G86">
        <v>0.515187936390896</v>
      </c>
      <c r="H86">
        <v>2E+20</v>
      </c>
      <c r="I86">
        <v>0</v>
      </c>
      <c r="J86">
        <v>1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ProjectOPERADOR_LIXADEIRANumber BusyResource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10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0.48262851817987601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0.85064625227951796</v>
      </c>
      <c r="U86">
        <f>IF((ContinuousStatsTable[[#This Row],[RepsRequested]]&gt;1),ContinuousStatsTable[[#This Row],[HalfWidth]],ContinuousStatsTable[[#This Row],[BatchMeansHalfWidth]])</f>
        <v>8.0588572823863613E-2</v>
      </c>
    </row>
    <row r="87" spans="1:21" x14ac:dyDescent="0.3">
      <c r="A87" t="s">
        <v>66</v>
      </c>
      <c r="B87" t="s">
        <v>68</v>
      </c>
      <c r="C87">
        <v>6</v>
      </c>
      <c r="D87" t="s">
        <v>89</v>
      </c>
      <c r="E87" t="s">
        <v>88</v>
      </c>
      <c r="F87" t="s">
        <v>86</v>
      </c>
      <c r="G87">
        <v>1</v>
      </c>
      <c r="H87">
        <v>2E+20</v>
      </c>
      <c r="I87">
        <v>1</v>
      </c>
      <c r="J87">
        <v>1</v>
      </c>
      <c r="K87">
        <v>1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ProjectOPERADOR_LIXADEIRANumber ScheduledResource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10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1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1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1</v>
      </c>
      <c r="U87">
        <f>IF((ContinuousStatsTable[[#This Row],[RepsRequested]]&gt;1),ContinuousStatsTable[[#This Row],[HalfWidth]],ContinuousStatsTable[[#This Row],[BatchMeansHalfWidth]])</f>
        <v>0</v>
      </c>
    </row>
    <row r="88" spans="1:21" x14ac:dyDescent="0.3">
      <c r="A88" t="s">
        <v>66</v>
      </c>
      <c r="B88" t="s">
        <v>68</v>
      </c>
      <c r="C88">
        <v>6</v>
      </c>
      <c r="D88" t="s">
        <v>90</v>
      </c>
      <c r="E88" t="s">
        <v>85</v>
      </c>
      <c r="F88" t="s">
        <v>86</v>
      </c>
      <c r="G88">
        <v>0.98397972672724299</v>
      </c>
      <c r="H88">
        <v>2E+20</v>
      </c>
      <c r="I88">
        <v>0</v>
      </c>
      <c r="J88">
        <v>1</v>
      </c>
      <c r="K88">
        <v>1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ProjectOPERADOR_TORNOInstantaneous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10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0.51379543219592505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0.98397972672724299</v>
      </c>
      <c r="U88">
        <f>IF((ContinuousStatsTable[[#This Row],[RepsRequested]]&gt;1),ContinuousStatsTable[[#This Row],[HalfWidth]],ContinuousStatsTable[[#This Row],[BatchMeansHalfWidth]])</f>
        <v>9.9934848072064403E-2</v>
      </c>
    </row>
    <row r="89" spans="1:21" x14ac:dyDescent="0.3">
      <c r="A89" t="s">
        <v>66</v>
      </c>
      <c r="B89" t="s">
        <v>68</v>
      </c>
      <c r="C89">
        <v>6</v>
      </c>
      <c r="D89" t="s">
        <v>90</v>
      </c>
      <c r="E89" t="s">
        <v>87</v>
      </c>
      <c r="F89" t="s">
        <v>86</v>
      </c>
      <c r="G89">
        <v>0.98397972672724299</v>
      </c>
      <c r="H89">
        <v>2E+20</v>
      </c>
      <c r="I89">
        <v>0</v>
      </c>
      <c r="J89">
        <v>1</v>
      </c>
      <c r="K89">
        <v>1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ProjectOPERADOR_TORNONumber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10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0.51379543219592505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0.98397972672724299</v>
      </c>
      <c r="U89">
        <f>IF((ContinuousStatsTable[[#This Row],[RepsRequested]]&gt;1),ContinuousStatsTable[[#This Row],[HalfWidth]],ContinuousStatsTable[[#This Row],[BatchMeansHalfWidth]])</f>
        <v>9.9934848072064403E-2</v>
      </c>
    </row>
    <row r="90" spans="1:21" x14ac:dyDescent="0.3">
      <c r="A90" t="s">
        <v>66</v>
      </c>
      <c r="B90" t="s">
        <v>68</v>
      </c>
      <c r="C90">
        <v>6</v>
      </c>
      <c r="D90" t="s">
        <v>90</v>
      </c>
      <c r="E90" t="s">
        <v>88</v>
      </c>
      <c r="F90" t="s">
        <v>86</v>
      </c>
      <c r="G90">
        <v>1</v>
      </c>
      <c r="H90">
        <v>2E+20</v>
      </c>
      <c r="I90">
        <v>1</v>
      </c>
      <c r="J90">
        <v>1</v>
      </c>
      <c r="K90">
        <v>1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ProjectOPERADOR_TORNONumber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10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1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1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1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6</v>
      </c>
      <c r="D91" t="s">
        <v>91</v>
      </c>
      <c r="E91" t="s">
        <v>92</v>
      </c>
      <c r="F91" t="s">
        <v>71</v>
      </c>
      <c r="G91">
        <v>0</v>
      </c>
      <c r="H91">
        <v>2E+20</v>
      </c>
      <c r="I91">
        <v>0</v>
      </c>
      <c r="J91">
        <v>1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ProjectPECAWIPEntity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10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0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0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0</v>
      </c>
      <c r="U91">
        <f>IF((ContinuousStatsTable[[#This Row],[RepsRequested]]&gt;1),ContinuousStatsTable[[#This Row],[HalfWidth]],ContinuousStatsTable[[#This Row],[BatchMeansHalfWidth]])</f>
        <v>0</v>
      </c>
    </row>
    <row r="92" spans="1:21" x14ac:dyDescent="0.3">
      <c r="A92" t="s">
        <v>66</v>
      </c>
      <c r="B92" t="s">
        <v>68</v>
      </c>
      <c r="C92">
        <v>6</v>
      </c>
      <c r="D92" t="s">
        <v>69</v>
      </c>
      <c r="E92" t="s">
        <v>92</v>
      </c>
      <c r="F92" t="s">
        <v>71</v>
      </c>
      <c r="G92">
        <v>1.9226505752618701</v>
      </c>
      <c r="H92">
        <v>2E+20</v>
      </c>
      <c r="I92">
        <v>0</v>
      </c>
      <c r="J92">
        <v>6</v>
      </c>
      <c r="K92">
        <v>6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ProjectPICTURE_AZULWIPEntity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10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1.7449219173007218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1.1636100327840786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0.8323964728088421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0.61587295107649098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4.62111418248214</v>
      </c>
      <c r="U92">
        <f>IF((ContinuousStatsTable[[#This Row],[RepsRequested]]&gt;1),ContinuousStatsTable[[#This Row],[HalfWidth]],ContinuousStatsTable[[#This Row],[BatchMeansHalfWidth]])</f>
        <v>0.8323964728088421</v>
      </c>
    </row>
    <row r="93" spans="1:21" x14ac:dyDescent="0.3">
      <c r="A93" t="s">
        <v>66</v>
      </c>
      <c r="B93" t="s">
        <v>68</v>
      </c>
      <c r="C93">
        <v>6</v>
      </c>
      <c r="D93" t="s">
        <v>77</v>
      </c>
      <c r="E93" t="s">
        <v>92</v>
      </c>
      <c r="F93" t="s">
        <v>71</v>
      </c>
      <c r="G93">
        <v>0.96966120558496105</v>
      </c>
      <c r="H93">
        <v>2E+20</v>
      </c>
      <c r="I93">
        <v>0</v>
      </c>
      <c r="J93">
        <v>4</v>
      </c>
      <c r="K93">
        <v>1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ProjectPICTURE_VERDEWIPEntity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10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1.4932618444780983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0.52254145076226866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0.37380363545871892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0.96966120558496105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2.4913718530767301</v>
      </c>
      <c r="U93">
        <f>IF((ContinuousStatsTable[[#This Row],[RepsRequested]]&gt;1),ContinuousStatsTable[[#This Row],[HalfWidth]],ContinuousStatsTable[[#This Row],[BatchMeansHalfWidth]])</f>
        <v>0.37380363545871892</v>
      </c>
    </row>
    <row r="94" spans="1:21" x14ac:dyDescent="0.3">
      <c r="A94" t="s">
        <v>66</v>
      </c>
      <c r="B94" t="s">
        <v>68</v>
      </c>
      <c r="C94">
        <v>6</v>
      </c>
      <c r="D94" t="s">
        <v>78</v>
      </c>
      <c r="E94" t="s">
        <v>92</v>
      </c>
      <c r="F94" t="s">
        <v>71</v>
      </c>
      <c r="G94">
        <v>0.98276612327110102</v>
      </c>
      <c r="H94">
        <v>2E+20</v>
      </c>
      <c r="I94">
        <v>0</v>
      </c>
      <c r="J94">
        <v>2</v>
      </c>
      <c r="K94">
        <v>1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ProjectPICTURE_VERMELHOWIPEntity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10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1.4286586600337643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0.75640588530896835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0.54110017377262498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0.67509473200672698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3.2826442810797798</v>
      </c>
      <c r="U94">
        <f>IF((ContinuousStatsTable[[#This Row],[RepsRequested]]&gt;1),ContinuousStatsTable[[#This Row],[HalfWidth]],ContinuousStatsTable[[#This Row],[BatchMeansHalfWidth]])</f>
        <v>0.54110017377262498</v>
      </c>
    </row>
    <row r="95" spans="1:21" x14ac:dyDescent="0.3">
      <c r="A95" t="s">
        <v>66</v>
      </c>
      <c r="B95" t="s">
        <v>68</v>
      </c>
      <c r="C95">
        <v>6</v>
      </c>
      <c r="D95" t="s">
        <v>79</v>
      </c>
      <c r="E95" t="s">
        <v>93</v>
      </c>
      <c r="F95" t="s">
        <v>81</v>
      </c>
      <c r="G95">
        <v>0.13140938942347299</v>
      </c>
      <c r="H95">
        <v>2E+20</v>
      </c>
      <c r="I95">
        <v>0</v>
      </c>
      <c r="J95">
        <v>2</v>
      </c>
      <c r="K95">
        <v>0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ProjectProcesso Cortadeira.QueueNumber WaitingQueue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10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0.53038558221716525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0.39245895765901451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0.28074822567142471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9.2510237370042006E-2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1.3344747615452</v>
      </c>
      <c r="U95">
        <f>IF((ContinuousStatsTable[[#This Row],[RepsRequested]]&gt;1),ContinuousStatsTable[[#This Row],[HalfWidth]],ContinuousStatsTable[[#This Row],[BatchMeansHalfWidth]])</f>
        <v>0.28074822567142471</v>
      </c>
    </row>
    <row r="96" spans="1:21" x14ac:dyDescent="0.3">
      <c r="A96" t="s">
        <v>66</v>
      </c>
      <c r="B96" t="s">
        <v>68</v>
      </c>
      <c r="C96">
        <v>6</v>
      </c>
      <c r="D96" t="s">
        <v>82</v>
      </c>
      <c r="E96" t="s">
        <v>93</v>
      </c>
      <c r="F96" t="s">
        <v>81</v>
      </c>
      <c r="G96">
        <v>0.13908143611106399</v>
      </c>
      <c r="H96">
        <v>2E+20</v>
      </c>
      <c r="I96">
        <v>0</v>
      </c>
      <c r="J96">
        <v>1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ProjectProcesso Lixadeira.QueueNumber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10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0.2467605477410765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0.20931915451334221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0.14973790273305995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2.27129878205608E-2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0.74764143964657803</v>
      </c>
      <c r="U96">
        <f>IF((ContinuousStatsTable[[#This Row],[RepsRequested]]&gt;1),ContinuousStatsTable[[#This Row],[HalfWidth]],ContinuousStatsTable[[#This Row],[BatchMeansHalfWidth]])</f>
        <v>0.14973790273305995</v>
      </c>
    </row>
    <row r="97" spans="1:21" x14ac:dyDescent="0.3">
      <c r="A97" t="s">
        <v>66</v>
      </c>
      <c r="B97" t="s">
        <v>68</v>
      </c>
      <c r="C97">
        <v>6</v>
      </c>
      <c r="D97" t="s">
        <v>83</v>
      </c>
      <c r="E97" t="s">
        <v>93</v>
      </c>
      <c r="F97" t="s">
        <v>81</v>
      </c>
      <c r="G97">
        <v>1.3693395317527199</v>
      </c>
      <c r="H97">
        <v>2E+20</v>
      </c>
      <c r="I97">
        <v>0</v>
      </c>
      <c r="J97">
        <v>5</v>
      </c>
      <c r="K97">
        <v>5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ProjectProcesso Torno.QueueNumber WaitingQueue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10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1.548257740428852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1.5672595927449962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1.1211499731189045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0.40125442877856599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5.62509510911375</v>
      </c>
      <c r="U97">
        <f>IF((ContinuousStatsTable[[#This Row],[RepsRequested]]&gt;1),ContinuousStatsTable[[#This Row],[HalfWidth]],ContinuousStatsTable[[#This Row],[BatchMeansHalfWidth]])</f>
        <v>1.1211499731189045</v>
      </c>
    </row>
    <row r="98" spans="1:21" x14ac:dyDescent="0.3">
      <c r="A98" t="s">
        <v>66</v>
      </c>
      <c r="B98" t="s">
        <v>68</v>
      </c>
      <c r="C98">
        <v>7</v>
      </c>
      <c r="D98" t="s">
        <v>84</v>
      </c>
      <c r="E98" t="s">
        <v>85</v>
      </c>
      <c r="F98" t="s">
        <v>86</v>
      </c>
      <c r="G98">
        <v>0.54115693840619805</v>
      </c>
      <c r="H98">
        <v>2E+20</v>
      </c>
      <c r="I98">
        <v>0</v>
      </c>
      <c r="J98">
        <v>1</v>
      </c>
      <c r="K98">
        <v>1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ProjectOPERADOR_CORTEInstantaneous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10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0.50548165778050103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0.90373198712706704</v>
      </c>
      <c r="U98">
        <f>IF((ContinuousStatsTable[[#This Row],[RepsRequested]]&gt;1),ContinuousStatsTable[[#This Row],[HalfWidth]],ContinuousStatsTable[[#This Row],[BatchMeansHalfWidth]])</f>
        <v>9.5209427409943759E-2</v>
      </c>
    </row>
    <row r="99" spans="1:21" x14ac:dyDescent="0.3">
      <c r="A99" t="s">
        <v>66</v>
      </c>
      <c r="B99" t="s">
        <v>68</v>
      </c>
      <c r="C99">
        <v>7</v>
      </c>
      <c r="D99" t="s">
        <v>84</v>
      </c>
      <c r="E99" t="s">
        <v>87</v>
      </c>
      <c r="F99" t="s">
        <v>86</v>
      </c>
      <c r="G99">
        <v>0.54115693840619805</v>
      </c>
      <c r="H99">
        <v>2E+20</v>
      </c>
      <c r="I99">
        <v>0</v>
      </c>
      <c r="J99">
        <v>1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ProjectOPERADOR_CORTENumber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10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0.50548165778050103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0.90373198712706704</v>
      </c>
      <c r="U99">
        <f>IF((ContinuousStatsTable[[#This Row],[RepsRequested]]&gt;1),ContinuousStatsTable[[#This Row],[HalfWidth]],ContinuousStatsTable[[#This Row],[BatchMeansHalfWidth]])</f>
        <v>9.5209427409943759E-2</v>
      </c>
    </row>
    <row r="100" spans="1:21" x14ac:dyDescent="0.3">
      <c r="A100" t="s">
        <v>66</v>
      </c>
      <c r="B100" t="s">
        <v>68</v>
      </c>
      <c r="C100">
        <v>7</v>
      </c>
      <c r="D100" t="s">
        <v>84</v>
      </c>
      <c r="E100" t="s">
        <v>88</v>
      </c>
      <c r="F100" t="s">
        <v>86</v>
      </c>
      <c r="G100">
        <v>1</v>
      </c>
      <c r="H100">
        <v>2E+20</v>
      </c>
      <c r="I100">
        <v>1</v>
      </c>
      <c r="J100">
        <v>1</v>
      </c>
      <c r="K100">
        <v>1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ProjectOPERADOR_CORTENumber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10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1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1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1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7</v>
      </c>
      <c r="D101" t="s">
        <v>89</v>
      </c>
      <c r="E101" t="s">
        <v>85</v>
      </c>
      <c r="F101" t="s">
        <v>86</v>
      </c>
      <c r="G101">
        <v>0.57814631873207301</v>
      </c>
      <c r="H101">
        <v>2E+20</v>
      </c>
      <c r="I101">
        <v>0</v>
      </c>
      <c r="J101">
        <v>1</v>
      </c>
      <c r="K101">
        <v>1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ProjectOPERADOR_LIXADEIRAInstantaneous UtilizationResource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10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0.48262851817987601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0.85064625227951796</v>
      </c>
      <c r="U101">
        <f>IF((ContinuousStatsTable[[#This Row],[RepsRequested]]&gt;1),ContinuousStatsTable[[#This Row],[HalfWidth]],ContinuousStatsTable[[#This Row],[BatchMeansHalfWidth]])</f>
        <v>8.0588572823863613E-2</v>
      </c>
    </row>
    <row r="102" spans="1:21" x14ac:dyDescent="0.3">
      <c r="A102" t="s">
        <v>66</v>
      </c>
      <c r="B102" t="s">
        <v>68</v>
      </c>
      <c r="C102">
        <v>7</v>
      </c>
      <c r="D102" t="s">
        <v>89</v>
      </c>
      <c r="E102" t="s">
        <v>87</v>
      </c>
      <c r="F102" t="s">
        <v>86</v>
      </c>
      <c r="G102">
        <v>0.57814631873207301</v>
      </c>
      <c r="H102">
        <v>2E+20</v>
      </c>
      <c r="I102">
        <v>0</v>
      </c>
      <c r="J102">
        <v>1</v>
      </c>
      <c r="K102">
        <v>1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ProjectOPERADOR_LIXADEIRANumber BusyResource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10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0.48262851817987601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0.85064625227951796</v>
      </c>
      <c r="U102">
        <f>IF((ContinuousStatsTable[[#This Row],[RepsRequested]]&gt;1),ContinuousStatsTable[[#This Row],[HalfWidth]],ContinuousStatsTable[[#This Row],[BatchMeansHalfWidth]])</f>
        <v>8.0588572823863613E-2</v>
      </c>
    </row>
    <row r="103" spans="1:21" x14ac:dyDescent="0.3">
      <c r="A103" t="s">
        <v>66</v>
      </c>
      <c r="B103" t="s">
        <v>68</v>
      </c>
      <c r="C103">
        <v>7</v>
      </c>
      <c r="D103" t="s">
        <v>89</v>
      </c>
      <c r="E103" t="s">
        <v>88</v>
      </c>
      <c r="F103" t="s">
        <v>86</v>
      </c>
      <c r="G103">
        <v>1</v>
      </c>
      <c r="H103">
        <v>2E+20</v>
      </c>
      <c r="I103">
        <v>1</v>
      </c>
      <c r="J103">
        <v>1</v>
      </c>
      <c r="K103">
        <v>1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ProjectOPERADOR_LIXADEIRANumber ScheduledResource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10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1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0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1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1</v>
      </c>
      <c r="U103">
        <f>IF((ContinuousStatsTable[[#This Row],[RepsRequested]]&gt;1),ContinuousStatsTable[[#This Row],[HalfWidth]],ContinuousStatsTable[[#This Row],[BatchMeansHalfWidth]])</f>
        <v>0</v>
      </c>
    </row>
    <row r="104" spans="1:21" x14ac:dyDescent="0.3">
      <c r="A104" t="s">
        <v>66</v>
      </c>
      <c r="B104" t="s">
        <v>68</v>
      </c>
      <c r="C104">
        <v>7</v>
      </c>
      <c r="D104" t="s">
        <v>90</v>
      </c>
      <c r="E104" t="s">
        <v>85</v>
      </c>
      <c r="F104" t="s">
        <v>86</v>
      </c>
      <c r="G104">
        <v>0.51379543219592505</v>
      </c>
      <c r="H104">
        <v>2E+20</v>
      </c>
      <c r="I104">
        <v>0</v>
      </c>
      <c r="J104">
        <v>1</v>
      </c>
      <c r="K104">
        <v>1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ProjectOPERADOR_TORNOInstantaneous UtilizationResource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10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0.51379543219592505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0.98397972672724299</v>
      </c>
      <c r="U104">
        <f>IF((ContinuousStatsTable[[#This Row],[RepsRequested]]&gt;1),ContinuousStatsTable[[#This Row],[HalfWidth]],ContinuousStatsTable[[#This Row],[BatchMeansHalfWidth]])</f>
        <v>9.9934848072064403E-2</v>
      </c>
    </row>
    <row r="105" spans="1:21" x14ac:dyDescent="0.3">
      <c r="A105" t="s">
        <v>66</v>
      </c>
      <c r="B105" t="s">
        <v>68</v>
      </c>
      <c r="C105">
        <v>7</v>
      </c>
      <c r="D105" t="s">
        <v>90</v>
      </c>
      <c r="E105" t="s">
        <v>87</v>
      </c>
      <c r="F105" t="s">
        <v>86</v>
      </c>
      <c r="G105">
        <v>0.51379543219592505</v>
      </c>
      <c r="H105">
        <v>2E+20</v>
      </c>
      <c r="I105">
        <v>0</v>
      </c>
      <c r="J105">
        <v>1</v>
      </c>
      <c r="K105">
        <v>1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ProjectOPERADOR_TORNONumber BusyResource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10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0.51379543219592505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0.98397972672724299</v>
      </c>
      <c r="U105">
        <f>IF((ContinuousStatsTable[[#This Row],[RepsRequested]]&gt;1),ContinuousStatsTable[[#This Row],[HalfWidth]],ContinuousStatsTable[[#This Row],[BatchMeansHalfWidth]])</f>
        <v>9.9934848072064403E-2</v>
      </c>
    </row>
    <row r="106" spans="1:21" x14ac:dyDescent="0.3">
      <c r="A106" t="s">
        <v>66</v>
      </c>
      <c r="B106" t="s">
        <v>68</v>
      </c>
      <c r="C106">
        <v>7</v>
      </c>
      <c r="D106" t="s">
        <v>90</v>
      </c>
      <c r="E106" t="s">
        <v>88</v>
      </c>
      <c r="F106" t="s">
        <v>86</v>
      </c>
      <c r="G106">
        <v>1</v>
      </c>
      <c r="H106">
        <v>2E+20</v>
      </c>
      <c r="I106">
        <v>1</v>
      </c>
      <c r="J106">
        <v>1</v>
      </c>
      <c r="K106">
        <v>1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ProjectOPERADOR_TORNONumber ScheduledResource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10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1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1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1</v>
      </c>
      <c r="U106">
        <f>IF((ContinuousStatsTable[[#This Row],[RepsRequested]]&gt;1),ContinuousStatsTable[[#This Row],[HalfWidth]],ContinuousStatsTable[[#This Row],[BatchMeansHalfWidth]])</f>
        <v>0</v>
      </c>
    </row>
    <row r="107" spans="1:21" x14ac:dyDescent="0.3">
      <c r="A107" t="s">
        <v>66</v>
      </c>
      <c r="B107" t="s">
        <v>68</v>
      </c>
      <c r="C107">
        <v>7</v>
      </c>
      <c r="D107" t="s">
        <v>91</v>
      </c>
      <c r="E107" t="s">
        <v>92</v>
      </c>
      <c r="F107" t="s">
        <v>71</v>
      </c>
      <c r="G107">
        <v>0</v>
      </c>
      <c r="H107">
        <v>2E+20</v>
      </c>
      <c r="I107">
        <v>0</v>
      </c>
      <c r="J107">
        <v>1</v>
      </c>
      <c r="K107">
        <v>0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ProjectPECAWIPEntity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10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0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0</v>
      </c>
      <c r="U107">
        <f>IF((ContinuousStatsTable[[#This Row],[RepsRequested]]&gt;1),ContinuousStatsTable[[#This Row],[HalfWidth]],ContinuousStatsTable[[#This Row],[BatchMeansHalfWidth]])</f>
        <v>0</v>
      </c>
    </row>
    <row r="108" spans="1:21" x14ac:dyDescent="0.3">
      <c r="A108" t="s">
        <v>66</v>
      </c>
      <c r="B108" t="s">
        <v>68</v>
      </c>
      <c r="C108">
        <v>7</v>
      </c>
      <c r="D108" t="s">
        <v>69</v>
      </c>
      <c r="E108" t="s">
        <v>92</v>
      </c>
      <c r="F108" t="s">
        <v>71</v>
      </c>
      <c r="G108">
        <v>0.61587295107649098</v>
      </c>
      <c r="H108">
        <v>2E+20</v>
      </c>
      <c r="I108">
        <v>0</v>
      </c>
      <c r="J108">
        <v>3</v>
      </c>
      <c r="K108">
        <v>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ProjectPICTURE_AZULWIPEntity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10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1.7449219173007218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1.1636100327840786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0.8323964728088421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0.61587295107649098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4.62111418248214</v>
      </c>
      <c r="U108">
        <f>IF((ContinuousStatsTable[[#This Row],[RepsRequested]]&gt;1),ContinuousStatsTable[[#This Row],[HalfWidth]],ContinuousStatsTable[[#This Row],[BatchMeansHalfWidth]])</f>
        <v>0.8323964728088421</v>
      </c>
    </row>
    <row r="109" spans="1:21" x14ac:dyDescent="0.3">
      <c r="A109" t="s">
        <v>66</v>
      </c>
      <c r="B109" t="s">
        <v>68</v>
      </c>
      <c r="C109">
        <v>7</v>
      </c>
      <c r="D109" t="s">
        <v>77</v>
      </c>
      <c r="E109" t="s">
        <v>92</v>
      </c>
      <c r="F109" t="s">
        <v>71</v>
      </c>
      <c r="G109">
        <v>1.0599726537093399</v>
      </c>
      <c r="H109">
        <v>2E+20</v>
      </c>
      <c r="I109">
        <v>0</v>
      </c>
      <c r="J109">
        <v>3</v>
      </c>
      <c r="K109">
        <v>2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ProjectPICTURE_VERDEWIPEntity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10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1.4932618444780983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0.52254145076226866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0.37380363545871892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0.96966120558496105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2.4913718530767301</v>
      </c>
      <c r="U109">
        <f>IF((ContinuousStatsTable[[#This Row],[RepsRequested]]&gt;1),ContinuousStatsTable[[#This Row],[HalfWidth]],ContinuousStatsTable[[#This Row],[BatchMeansHalfWidth]])</f>
        <v>0.37380363545871892</v>
      </c>
    </row>
    <row r="110" spans="1:21" x14ac:dyDescent="0.3">
      <c r="A110" t="s">
        <v>66</v>
      </c>
      <c r="B110" t="s">
        <v>68</v>
      </c>
      <c r="C110">
        <v>7</v>
      </c>
      <c r="D110" t="s">
        <v>78</v>
      </c>
      <c r="E110" t="s">
        <v>92</v>
      </c>
      <c r="F110" t="s">
        <v>71</v>
      </c>
      <c r="G110">
        <v>0.74866557346058005</v>
      </c>
      <c r="H110">
        <v>2E+20</v>
      </c>
      <c r="I110">
        <v>0</v>
      </c>
      <c r="J110">
        <v>2</v>
      </c>
      <c r="K110">
        <v>0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ProjectPICTURE_VERMELHOWIPEntity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10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1.4286586600337643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0.75640588530896835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0.54110017377262498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0.67509473200672698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3.2826442810797798</v>
      </c>
      <c r="U110">
        <f>IF((ContinuousStatsTable[[#This Row],[RepsRequested]]&gt;1),ContinuousStatsTable[[#This Row],[HalfWidth]],ContinuousStatsTable[[#This Row],[BatchMeansHalfWidth]])</f>
        <v>0.54110017377262498</v>
      </c>
    </row>
    <row r="111" spans="1:21" x14ac:dyDescent="0.3">
      <c r="A111" t="s">
        <v>66</v>
      </c>
      <c r="B111" t="s">
        <v>68</v>
      </c>
      <c r="C111">
        <v>7</v>
      </c>
      <c r="D111" t="s">
        <v>79</v>
      </c>
      <c r="E111" t="s">
        <v>93</v>
      </c>
      <c r="F111" t="s">
        <v>81</v>
      </c>
      <c r="G111">
        <v>9.2510237370042006E-2</v>
      </c>
      <c r="H111">
        <v>2E+20</v>
      </c>
      <c r="I111">
        <v>0</v>
      </c>
      <c r="J111">
        <v>1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ProjectProcesso Cortadeira.QueueNumber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10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0.53038558221716525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0.39245895765901451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0.28074822567142471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9.2510237370042006E-2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1.3344747615452</v>
      </c>
      <c r="U111">
        <f>IF((ContinuousStatsTable[[#This Row],[RepsRequested]]&gt;1),ContinuousStatsTable[[#This Row],[HalfWidth]],ContinuousStatsTable[[#This Row],[BatchMeansHalfWidth]])</f>
        <v>0.28074822567142471</v>
      </c>
    </row>
    <row r="112" spans="1:21" x14ac:dyDescent="0.3">
      <c r="A112" t="s">
        <v>66</v>
      </c>
      <c r="B112" t="s">
        <v>68</v>
      </c>
      <c r="C112">
        <v>7</v>
      </c>
      <c r="D112" t="s">
        <v>82</v>
      </c>
      <c r="E112" t="s">
        <v>93</v>
      </c>
      <c r="F112" t="s">
        <v>81</v>
      </c>
      <c r="G112">
        <v>0.124314489430269</v>
      </c>
      <c r="H112">
        <v>2E+20</v>
      </c>
      <c r="I112">
        <v>0</v>
      </c>
      <c r="J112">
        <v>1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ProjectProcesso Lixadeira.QueueNumber WaitingQueue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10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0.2467605477410765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0.20931915451334221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0.14973790273305995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2.27129878205608E-2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0.74764143964657803</v>
      </c>
      <c r="U112">
        <f>IF((ContinuousStatsTable[[#This Row],[RepsRequested]]&gt;1),ContinuousStatsTable[[#This Row],[HalfWidth]],ContinuousStatsTable[[#This Row],[BatchMeansHalfWidth]])</f>
        <v>0.14973790273305995</v>
      </c>
    </row>
    <row r="113" spans="1:21" x14ac:dyDescent="0.3">
      <c r="A113" t="s">
        <v>66</v>
      </c>
      <c r="B113" t="s">
        <v>68</v>
      </c>
      <c r="C113">
        <v>7</v>
      </c>
      <c r="D113" t="s">
        <v>83</v>
      </c>
      <c r="E113" t="s">
        <v>93</v>
      </c>
      <c r="F113" t="s">
        <v>81</v>
      </c>
      <c r="G113">
        <v>0.40125442877856599</v>
      </c>
      <c r="H113">
        <v>2E+20</v>
      </c>
      <c r="I113">
        <v>0</v>
      </c>
      <c r="J113">
        <v>4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ProjectProcesso Torno.QueueNumber WaitingQueue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10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1.548257740428852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1.5672595927449962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1.1211499731189045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0.40125442877856599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5.62509510911375</v>
      </c>
      <c r="U113">
        <f>IF((ContinuousStatsTable[[#This Row],[RepsRequested]]&gt;1),ContinuousStatsTable[[#This Row],[HalfWidth]],ContinuousStatsTable[[#This Row],[BatchMeansHalfWidth]])</f>
        <v>1.1211499731189045</v>
      </c>
    </row>
    <row r="114" spans="1:21" x14ac:dyDescent="0.3">
      <c r="A114" t="s">
        <v>66</v>
      </c>
      <c r="B114" t="s">
        <v>68</v>
      </c>
      <c r="C114">
        <v>8</v>
      </c>
      <c r="D114" t="s">
        <v>84</v>
      </c>
      <c r="E114" t="s">
        <v>85</v>
      </c>
      <c r="F114" t="s">
        <v>86</v>
      </c>
      <c r="G114">
        <v>0.57604223450418501</v>
      </c>
      <c r="H114">
        <v>2E+20</v>
      </c>
      <c r="I114">
        <v>0</v>
      </c>
      <c r="J114">
        <v>1</v>
      </c>
      <c r="K114">
        <v>1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ProjectOPERADOR_CORTEInstantaneous UtilizationResource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10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0.50548165778050103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0.90373198712706704</v>
      </c>
      <c r="U114">
        <f>IF((ContinuousStatsTable[[#This Row],[RepsRequested]]&gt;1),ContinuousStatsTable[[#This Row],[HalfWidth]],ContinuousStatsTable[[#This Row],[BatchMeansHalfWidth]])</f>
        <v>9.5209427409943759E-2</v>
      </c>
    </row>
    <row r="115" spans="1:21" x14ac:dyDescent="0.3">
      <c r="A115" t="s">
        <v>66</v>
      </c>
      <c r="B115" t="s">
        <v>68</v>
      </c>
      <c r="C115">
        <v>8</v>
      </c>
      <c r="D115" t="s">
        <v>84</v>
      </c>
      <c r="E115" t="s">
        <v>87</v>
      </c>
      <c r="F115" t="s">
        <v>86</v>
      </c>
      <c r="G115">
        <v>0.57604223450418501</v>
      </c>
      <c r="H115">
        <v>2E+20</v>
      </c>
      <c r="I115">
        <v>0</v>
      </c>
      <c r="J115">
        <v>1</v>
      </c>
      <c r="K115">
        <v>1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ProjectOPERADOR_CORTENumber BusyResource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10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0.50548165778050103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0.90373198712706704</v>
      </c>
      <c r="U115">
        <f>IF((ContinuousStatsTable[[#This Row],[RepsRequested]]&gt;1),ContinuousStatsTable[[#This Row],[HalfWidth]],ContinuousStatsTable[[#This Row],[BatchMeansHalfWidth]])</f>
        <v>9.5209427409943759E-2</v>
      </c>
    </row>
    <row r="116" spans="1:21" x14ac:dyDescent="0.3">
      <c r="A116" t="s">
        <v>66</v>
      </c>
      <c r="B116" t="s">
        <v>68</v>
      </c>
      <c r="C116">
        <v>8</v>
      </c>
      <c r="D116" t="s">
        <v>84</v>
      </c>
      <c r="E116" t="s">
        <v>88</v>
      </c>
      <c r="F116" t="s">
        <v>86</v>
      </c>
      <c r="G116">
        <v>1</v>
      </c>
      <c r="H116">
        <v>2E+20</v>
      </c>
      <c r="I116">
        <v>1</v>
      </c>
      <c r="J116">
        <v>1</v>
      </c>
      <c r="K116">
        <v>1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ProjectOPERADOR_CORTENumber ScheduledResource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10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1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1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1</v>
      </c>
      <c r="U116">
        <f>IF((ContinuousStatsTable[[#This Row],[RepsRequested]]&gt;1),ContinuousStatsTable[[#This Row],[HalfWidth]],ContinuousStatsTable[[#This Row],[BatchMeansHalfWidth]])</f>
        <v>0</v>
      </c>
    </row>
    <row r="117" spans="1:21" x14ac:dyDescent="0.3">
      <c r="A117" t="s">
        <v>66</v>
      </c>
      <c r="B117" t="s">
        <v>68</v>
      </c>
      <c r="C117">
        <v>8</v>
      </c>
      <c r="D117" t="s">
        <v>89</v>
      </c>
      <c r="E117" t="s">
        <v>85</v>
      </c>
      <c r="F117" t="s">
        <v>86</v>
      </c>
      <c r="G117">
        <v>0.48262851817987601</v>
      </c>
      <c r="H117">
        <v>2E+20</v>
      </c>
      <c r="I117">
        <v>0</v>
      </c>
      <c r="J117">
        <v>1</v>
      </c>
      <c r="K117">
        <v>1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ProjectOPERADOR_LIXADEIRAInstantaneous UtilizationResource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10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0.48262851817987601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0.85064625227951796</v>
      </c>
      <c r="U117">
        <f>IF((ContinuousStatsTable[[#This Row],[RepsRequested]]&gt;1),ContinuousStatsTable[[#This Row],[HalfWidth]],ContinuousStatsTable[[#This Row],[BatchMeansHalfWidth]])</f>
        <v>8.0588572823863613E-2</v>
      </c>
    </row>
    <row r="118" spans="1:21" x14ac:dyDescent="0.3">
      <c r="A118" t="s">
        <v>66</v>
      </c>
      <c r="B118" t="s">
        <v>68</v>
      </c>
      <c r="C118">
        <v>8</v>
      </c>
      <c r="D118" t="s">
        <v>89</v>
      </c>
      <c r="E118" t="s">
        <v>87</v>
      </c>
      <c r="F118" t="s">
        <v>86</v>
      </c>
      <c r="G118">
        <v>0.48262851817987601</v>
      </c>
      <c r="H118">
        <v>2E+20</v>
      </c>
      <c r="I118">
        <v>0</v>
      </c>
      <c r="J118">
        <v>1</v>
      </c>
      <c r="K118">
        <v>1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ProjectOPERADOR_LIXADEIRANumber BusyResource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10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0.48262851817987601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0.85064625227951796</v>
      </c>
      <c r="U118">
        <f>IF((ContinuousStatsTable[[#This Row],[RepsRequested]]&gt;1),ContinuousStatsTable[[#This Row],[HalfWidth]],ContinuousStatsTable[[#This Row],[BatchMeansHalfWidth]])</f>
        <v>8.0588572823863613E-2</v>
      </c>
    </row>
    <row r="119" spans="1:21" x14ac:dyDescent="0.3">
      <c r="A119" t="s">
        <v>66</v>
      </c>
      <c r="B119" t="s">
        <v>68</v>
      </c>
      <c r="C119">
        <v>8</v>
      </c>
      <c r="D119" t="s">
        <v>89</v>
      </c>
      <c r="E119" t="s">
        <v>88</v>
      </c>
      <c r="F119" t="s">
        <v>86</v>
      </c>
      <c r="G119">
        <v>1</v>
      </c>
      <c r="H119">
        <v>2E+20</v>
      </c>
      <c r="I119">
        <v>1</v>
      </c>
      <c r="J119">
        <v>1</v>
      </c>
      <c r="K119">
        <v>1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ProjectOPERADOR_LIXADEIRANumber ScheduledResource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10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1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1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</v>
      </c>
      <c r="U119">
        <f>IF((ContinuousStatsTable[[#This Row],[RepsRequested]]&gt;1),ContinuousStatsTable[[#This Row],[HalfWidth]],ContinuousStatsTable[[#This Row],[BatchMeansHalfWidth]])</f>
        <v>0</v>
      </c>
    </row>
    <row r="120" spans="1:21" x14ac:dyDescent="0.3">
      <c r="A120" t="s">
        <v>66</v>
      </c>
      <c r="B120" t="s">
        <v>68</v>
      </c>
      <c r="C120">
        <v>8</v>
      </c>
      <c r="D120" t="s">
        <v>90</v>
      </c>
      <c r="E120" t="s">
        <v>85</v>
      </c>
      <c r="F120" t="s">
        <v>86</v>
      </c>
      <c r="G120">
        <v>0.76192402816309501</v>
      </c>
      <c r="H120">
        <v>2E+20</v>
      </c>
      <c r="I120">
        <v>0</v>
      </c>
      <c r="J120">
        <v>1</v>
      </c>
      <c r="K120">
        <v>0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ProjectOPERADOR_TORNOInstantaneous UtilizationResource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10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0.51379543219592505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0.98397972672724299</v>
      </c>
      <c r="U120">
        <f>IF((ContinuousStatsTable[[#This Row],[RepsRequested]]&gt;1),ContinuousStatsTable[[#This Row],[HalfWidth]],ContinuousStatsTable[[#This Row],[BatchMeansHalfWidth]])</f>
        <v>9.9934848072064403E-2</v>
      </c>
    </row>
    <row r="121" spans="1:21" x14ac:dyDescent="0.3">
      <c r="A121" t="s">
        <v>66</v>
      </c>
      <c r="B121" t="s">
        <v>68</v>
      </c>
      <c r="C121">
        <v>8</v>
      </c>
      <c r="D121" t="s">
        <v>90</v>
      </c>
      <c r="E121" t="s">
        <v>87</v>
      </c>
      <c r="F121" t="s">
        <v>86</v>
      </c>
      <c r="G121">
        <v>0.76192402816309501</v>
      </c>
      <c r="H121">
        <v>2E+20</v>
      </c>
      <c r="I121">
        <v>0</v>
      </c>
      <c r="J121">
        <v>1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ProjectOPERADOR_TORNONumber BusyResource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10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0.51379543219592505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0.98397972672724299</v>
      </c>
      <c r="U121">
        <f>IF((ContinuousStatsTable[[#This Row],[RepsRequested]]&gt;1),ContinuousStatsTable[[#This Row],[HalfWidth]],ContinuousStatsTable[[#This Row],[BatchMeansHalfWidth]])</f>
        <v>9.9934848072064403E-2</v>
      </c>
    </row>
    <row r="122" spans="1:21" x14ac:dyDescent="0.3">
      <c r="A122" t="s">
        <v>66</v>
      </c>
      <c r="B122" t="s">
        <v>68</v>
      </c>
      <c r="C122">
        <v>8</v>
      </c>
      <c r="D122" t="s">
        <v>90</v>
      </c>
      <c r="E122" t="s">
        <v>88</v>
      </c>
      <c r="F122" t="s">
        <v>86</v>
      </c>
      <c r="G122">
        <v>1</v>
      </c>
      <c r="H122">
        <v>2E+20</v>
      </c>
      <c r="I122">
        <v>1</v>
      </c>
      <c r="J122">
        <v>1</v>
      </c>
      <c r="K122">
        <v>1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ProjectOPERADOR_TORNONumber ScheduledResource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10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1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1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1</v>
      </c>
      <c r="U122">
        <f>IF((ContinuousStatsTable[[#This Row],[RepsRequested]]&gt;1),ContinuousStatsTable[[#This Row],[HalfWidth]],ContinuousStatsTable[[#This Row],[BatchMeansHalfWidth]])</f>
        <v>0</v>
      </c>
    </row>
    <row r="123" spans="1:21" x14ac:dyDescent="0.3">
      <c r="A123" t="s">
        <v>66</v>
      </c>
      <c r="B123" t="s">
        <v>68</v>
      </c>
      <c r="C123">
        <v>8</v>
      </c>
      <c r="D123" t="s">
        <v>91</v>
      </c>
      <c r="E123" t="s">
        <v>92</v>
      </c>
      <c r="F123" t="s">
        <v>71</v>
      </c>
      <c r="G123">
        <v>0</v>
      </c>
      <c r="H123">
        <v>2E+20</v>
      </c>
      <c r="I123">
        <v>0</v>
      </c>
      <c r="J123">
        <v>1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ProjectPECAWIPEntity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10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</v>
      </c>
      <c r="U123">
        <f>IF((ContinuousStatsTable[[#This Row],[RepsRequested]]&gt;1),ContinuousStatsTable[[#This Row],[HalfWidth]],ContinuousStatsTable[[#This Row],[BatchMeansHalfWidth]])</f>
        <v>0</v>
      </c>
    </row>
    <row r="124" spans="1:21" x14ac:dyDescent="0.3">
      <c r="A124" t="s">
        <v>66</v>
      </c>
      <c r="B124" t="s">
        <v>68</v>
      </c>
      <c r="C124">
        <v>8</v>
      </c>
      <c r="D124" t="s">
        <v>69</v>
      </c>
      <c r="E124" t="s">
        <v>92</v>
      </c>
      <c r="F124" t="s">
        <v>71</v>
      </c>
      <c r="G124">
        <v>0.84615195798477105</v>
      </c>
      <c r="H124">
        <v>2E+20</v>
      </c>
      <c r="I124">
        <v>0</v>
      </c>
      <c r="J124">
        <v>3</v>
      </c>
      <c r="K124">
        <v>0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ProjectPICTURE_AZULWIPEntity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10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1.7449219173007218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1.1636100327840786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0.8323964728088421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0.61587295107649098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4.62111418248214</v>
      </c>
      <c r="U124">
        <f>IF((ContinuousStatsTable[[#This Row],[RepsRequested]]&gt;1),ContinuousStatsTable[[#This Row],[HalfWidth]],ContinuousStatsTable[[#This Row],[BatchMeansHalfWidth]])</f>
        <v>0.8323964728088421</v>
      </c>
    </row>
    <row r="125" spans="1:21" x14ac:dyDescent="0.3">
      <c r="A125" t="s">
        <v>66</v>
      </c>
      <c r="B125" t="s">
        <v>68</v>
      </c>
      <c r="C125">
        <v>8</v>
      </c>
      <c r="D125" t="s">
        <v>77</v>
      </c>
      <c r="E125" t="s">
        <v>92</v>
      </c>
      <c r="F125" t="s">
        <v>71</v>
      </c>
      <c r="G125">
        <v>1.14594259526159</v>
      </c>
      <c r="H125">
        <v>2E+20</v>
      </c>
      <c r="I125">
        <v>0</v>
      </c>
      <c r="J125">
        <v>4</v>
      </c>
      <c r="K125">
        <v>3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ProjectPICTURE_VERDEWIPEntity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10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1.4932618444780983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0.52254145076226866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0.37380363545871892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0.96966120558496105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2.4913718530767301</v>
      </c>
      <c r="U125">
        <f>IF((ContinuousStatsTable[[#This Row],[RepsRequested]]&gt;1),ContinuousStatsTable[[#This Row],[HalfWidth]],ContinuousStatsTable[[#This Row],[BatchMeansHalfWidth]])</f>
        <v>0.37380363545871892</v>
      </c>
    </row>
    <row r="126" spans="1:21" x14ac:dyDescent="0.3">
      <c r="A126" t="s">
        <v>66</v>
      </c>
      <c r="B126" t="s">
        <v>68</v>
      </c>
      <c r="C126">
        <v>8</v>
      </c>
      <c r="D126" t="s">
        <v>78</v>
      </c>
      <c r="E126" t="s">
        <v>92</v>
      </c>
      <c r="F126" t="s">
        <v>71</v>
      </c>
      <c r="G126">
        <v>1.1691121197838199</v>
      </c>
      <c r="H126">
        <v>2E+20</v>
      </c>
      <c r="I126">
        <v>0</v>
      </c>
      <c r="J126">
        <v>2</v>
      </c>
      <c r="K126">
        <v>2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ProjectPICTURE_VERMELHOWIPEntity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10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1.4286586600337643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0.75640588530896835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0.54110017377262498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0.67509473200672698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3.2826442810797798</v>
      </c>
      <c r="U126">
        <f>IF((ContinuousStatsTable[[#This Row],[RepsRequested]]&gt;1),ContinuousStatsTable[[#This Row],[HalfWidth]],ContinuousStatsTable[[#This Row],[BatchMeansHalfWidth]])</f>
        <v>0.54110017377262498</v>
      </c>
    </row>
    <row r="127" spans="1:21" x14ac:dyDescent="0.3">
      <c r="A127" t="s">
        <v>66</v>
      </c>
      <c r="B127" t="s">
        <v>68</v>
      </c>
      <c r="C127">
        <v>8</v>
      </c>
      <c r="D127" t="s">
        <v>79</v>
      </c>
      <c r="E127" t="s">
        <v>93</v>
      </c>
      <c r="F127" t="s">
        <v>81</v>
      </c>
      <c r="G127">
        <v>0.52817093572024998</v>
      </c>
      <c r="H127">
        <v>2E+20</v>
      </c>
      <c r="I127">
        <v>0</v>
      </c>
      <c r="J127">
        <v>4</v>
      </c>
      <c r="K127">
        <v>1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ProjectProcesso Cortadeira.QueueNumber WaitingQueue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10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0.53038558221716525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0.39245895765901451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0.28074822567142471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9.2510237370042006E-2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1.3344747615452</v>
      </c>
      <c r="U127">
        <f>IF((ContinuousStatsTable[[#This Row],[RepsRequested]]&gt;1),ContinuousStatsTable[[#This Row],[HalfWidth]],ContinuousStatsTable[[#This Row],[BatchMeansHalfWidth]])</f>
        <v>0.28074822567142471</v>
      </c>
    </row>
    <row r="128" spans="1:21" x14ac:dyDescent="0.3">
      <c r="A128" t="s">
        <v>66</v>
      </c>
      <c r="B128" t="s">
        <v>68</v>
      </c>
      <c r="C128">
        <v>8</v>
      </c>
      <c r="D128" t="s">
        <v>82</v>
      </c>
      <c r="E128" t="s">
        <v>93</v>
      </c>
      <c r="F128" t="s">
        <v>81</v>
      </c>
      <c r="G128">
        <v>2.27129878205608E-2</v>
      </c>
      <c r="H128">
        <v>2E+20</v>
      </c>
      <c r="I128">
        <v>0</v>
      </c>
      <c r="J128">
        <v>2</v>
      </c>
      <c r="K128">
        <v>2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ProjectProcesso Lixadeira.QueueNumber WaitingQueue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10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0.2467605477410765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0.20931915451334221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0.14973790273305995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2.27129878205608E-2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0.74764143964657803</v>
      </c>
      <c r="U128">
        <f>IF((ContinuousStatsTable[[#This Row],[RepsRequested]]&gt;1),ContinuousStatsTable[[#This Row],[HalfWidth]],ContinuousStatsTable[[#This Row],[BatchMeansHalfWidth]])</f>
        <v>0.14973790273305995</v>
      </c>
    </row>
    <row r="129" spans="1:21" x14ac:dyDescent="0.3">
      <c r="A129" t="s">
        <v>66</v>
      </c>
      <c r="B129" t="s">
        <v>68</v>
      </c>
      <c r="C129">
        <v>8</v>
      </c>
      <c r="D129" t="s">
        <v>83</v>
      </c>
      <c r="E129" t="s">
        <v>93</v>
      </c>
      <c r="F129" t="s">
        <v>81</v>
      </c>
      <c r="G129">
        <v>0.59306130197554896</v>
      </c>
      <c r="H129">
        <v>2E+20</v>
      </c>
      <c r="I129">
        <v>0</v>
      </c>
      <c r="J129">
        <v>2</v>
      </c>
      <c r="K129">
        <v>0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ProjectProcesso Torno.QueueNumber WaitingQueue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10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1.548257740428852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1.5672595927449962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1.1211499731189045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0.40125442877856599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5.62509510911375</v>
      </c>
      <c r="U129">
        <f>IF((ContinuousStatsTable[[#This Row],[RepsRequested]]&gt;1),ContinuousStatsTable[[#This Row],[HalfWidth]],ContinuousStatsTable[[#This Row],[BatchMeansHalfWidth]])</f>
        <v>1.1211499731189045</v>
      </c>
    </row>
    <row r="130" spans="1:21" x14ac:dyDescent="0.3">
      <c r="A130" t="s">
        <v>66</v>
      </c>
      <c r="B130" t="s">
        <v>68</v>
      </c>
      <c r="C130">
        <v>9</v>
      </c>
      <c r="D130" t="s">
        <v>84</v>
      </c>
      <c r="E130" t="s">
        <v>85</v>
      </c>
      <c r="F130" t="s">
        <v>86</v>
      </c>
      <c r="G130">
        <v>0.85456598914228199</v>
      </c>
      <c r="H130">
        <v>2E+20</v>
      </c>
      <c r="I130">
        <v>0</v>
      </c>
      <c r="J130">
        <v>1</v>
      </c>
      <c r="K130">
        <v>1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ProjectOPERADOR_CORTEInstantaneous UtilizationResource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10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0.50548165778050103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0.90373198712706704</v>
      </c>
      <c r="U130">
        <f>IF((ContinuousStatsTable[[#This Row],[RepsRequested]]&gt;1),ContinuousStatsTable[[#This Row],[HalfWidth]],ContinuousStatsTable[[#This Row],[BatchMeansHalfWidth]])</f>
        <v>9.5209427409943759E-2</v>
      </c>
    </row>
    <row r="131" spans="1:21" x14ac:dyDescent="0.3">
      <c r="A131" t="s">
        <v>66</v>
      </c>
      <c r="B131" t="s">
        <v>68</v>
      </c>
      <c r="C131">
        <v>9</v>
      </c>
      <c r="D131" t="s">
        <v>84</v>
      </c>
      <c r="E131" t="s">
        <v>87</v>
      </c>
      <c r="F131" t="s">
        <v>86</v>
      </c>
      <c r="G131">
        <v>0.85456598914228199</v>
      </c>
      <c r="H131">
        <v>2E+20</v>
      </c>
      <c r="I131">
        <v>0</v>
      </c>
      <c r="J131">
        <v>1</v>
      </c>
      <c r="K131">
        <v>1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ProjectOPERADOR_CORTENumber BusyResource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10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0.50548165778050103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0.90373198712706704</v>
      </c>
      <c r="U131">
        <f>IF((ContinuousStatsTable[[#This Row],[RepsRequested]]&gt;1),ContinuousStatsTable[[#This Row],[HalfWidth]],ContinuousStatsTable[[#This Row],[BatchMeansHalfWidth]])</f>
        <v>9.5209427409943759E-2</v>
      </c>
    </row>
    <row r="132" spans="1:21" x14ac:dyDescent="0.3">
      <c r="A132" t="s">
        <v>66</v>
      </c>
      <c r="B132" t="s">
        <v>68</v>
      </c>
      <c r="C132">
        <v>9</v>
      </c>
      <c r="D132" t="s">
        <v>84</v>
      </c>
      <c r="E132" t="s">
        <v>88</v>
      </c>
      <c r="F132" t="s">
        <v>86</v>
      </c>
      <c r="G132">
        <v>1</v>
      </c>
      <c r="H132">
        <v>2E+20</v>
      </c>
      <c r="I132">
        <v>1</v>
      </c>
      <c r="J132">
        <v>1</v>
      </c>
      <c r="K132">
        <v>1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ProjectOPERADOR_CORTENumber ScheduledResource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10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1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1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1</v>
      </c>
      <c r="U132">
        <f>IF((ContinuousStatsTable[[#This Row],[RepsRequested]]&gt;1),ContinuousStatsTable[[#This Row],[HalfWidth]],ContinuousStatsTable[[#This Row],[BatchMeansHalfWidth]])</f>
        <v>0</v>
      </c>
    </row>
    <row r="133" spans="1:21" x14ac:dyDescent="0.3">
      <c r="A133" t="s">
        <v>66</v>
      </c>
      <c r="B133" t="s">
        <v>68</v>
      </c>
      <c r="C133">
        <v>9</v>
      </c>
      <c r="D133" t="s">
        <v>89</v>
      </c>
      <c r="E133" t="s">
        <v>85</v>
      </c>
      <c r="F133" t="s">
        <v>86</v>
      </c>
      <c r="G133">
        <v>0.85064625227951796</v>
      </c>
      <c r="H133">
        <v>2E+20</v>
      </c>
      <c r="I133">
        <v>0</v>
      </c>
      <c r="J133">
        <v>1</v>
      </c>
      <c r="K133">
        <v>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ProjectOPERADOR_LIXADEIRAInstantaneous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10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0.48262851817987601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0.85064625227951796</v>
      </c>
      <c r="U133">
        <f>IF((ContinuousStatsTable[[#This Row],[RepsRequested]]&gt;1),ContinuousStatsTable[[#This Row],[HalfWidth]],ContinuousStatsTable[[#This Row],[BatchMeansHalfWidth]])</f>
        <v>8.0588572823863613E-2</v>
      </c>
    </row>
    <row r="134" spans="1:21" x14ac:dyDescent="0.3">
      <c r="A134" t="s">
        <v>66</v>
      </c>
      <c r="B134" t="s">
        <v>68</v>
      </c>
      <c r="C134">
        <v>9</v>
      </c>
      <c r="D134" t="s">
        <v>89</v>
      </c>
      <c r="E134" t="s">
        <v>87</v>
      </c>
      <c r="F134" t="s">
        <v>86</v>
      </c>
      <c r="G134">
        <v>0.85064625227951796</v>
      </c>
      <c r="H134">
        <v>2E+20</v>
      </c>
      <c r="I134">
        <v>0</v>
      </c>
      <c r="J134">
        <v>1</v>
      </c>
      <c r="K134">
        <v>1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ProjectOPERADOR_LIXADEIRANumber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10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0.48262851817987601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0.85064625227951796</v>
      </c>
      <c r="U134">
        <f>IF((ContinuousStatsTable[[#This Row],[RepsRequested]]&gt;1),ContinuousStatsTable[[#This Row],[HalfWidth]],ContinuousStatsTable[[#This Row],[BatchMeansHalfWidth]])</f>
        <v>8.0588572823863613E-2</v>
      </c>
    </row>
    <row r="135" spans="1:21" x14ac:dyDescent="0.3">
      <c r="A135" t="s">
        <v>66</v>
      </c>
      <c r="B135" t="s">
        <v>68</v>
      </c>
      <c r="C135">
        <v>9</v>
      </c>
      <c r="D135" t="s">
        <v>89</v>
      </c>
      <c r="E135" t="s">
        <v>88</v>
      </c>
      <c r="F135" t="s">
        <v>86</v>
      </c>
      <c r="G135">
        <v>1</v>
      </c>
      <c r="H135">
        <v>2E+20</v>
      </c>
      <c r="I135">
        <v>1</v>
      </c>
      <c r="J135">
        <v>1</v>
      </c>
      <c r="K135">
        <v>1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ProjectOPERADOR_LIXADEIRANumber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10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1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1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1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9</v>
      </c>
      <c r="D136" t="s">
        <v>90</v>
      </c>
      <c r="E136" t="s">
        <v>85</v>
      </c>
      <c r="F136" t="s">
        <v>86</v>
      </c>
      <c r="G136">
        <v>0.81151142158665801</v>
      </c>
      <c r="H136">
        <v>2E+20</v>
      </c>
      <c r="I136">
        <v>0</v>
      </c>
      <c r="J136">
        <v>1</v>
      </c>
      <c r="K136">
        <v>1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ProjectOPERADOR_TORNOInstantaneous UtilizationResource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10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0.51379543219592505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0.98397972672724299</v>
      </c>
      <c r="U136">
        <f>IF((ContinuousStatsTable[[#This Row],[RepsRequested]]&gt;1),ContinuousStatsTable[[#This Row],[HalfWidth]],ContinuousStatsTable[[#This Row],[BatchMeansHalfWidth]])</f>
        <v>9.9934848072064403E-2</v>
      </c>
    </row>
    <row r="137" spans="1:21" x14ac:dyDescent="0.3">
      <c r="A137" t="s">
        <v>66</v>
      </c>
      <c r="B137" t="s">
        <v>68</v>
      </c>
      <c r="C137">
        <v>9</v>
      </c>
      <c r="D137" t="s">
        <v>90</v>
      </c>
      <c r="E137" t="s">
        <v>87</v>
      </c>
      <c r="F137" t="s">
        <v>86</v>
      </c>
      <c r="G137">
        <v>0.81151142158665801</v>
      </c>
      <c r="H137">
        <v>2E+20</v>
      </c>
      <c r="I137">
        <v>0</v>
      </c>
      <c r="J137">
        <v>1</v>
      </c>
      <c r="K137">
        <v>1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ProjectOPERADOR_TORNONumber BusyResource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10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0.51379543219592505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0.98397972672724299</v>
      </c>
      <c r="U137">
        <f>IF((ContinuousStatsTable[[#This Row],[RepsRequested]]&gt;1),ContinuousStatsTable[[#This Row],[HalfWidth]],ContinuousStatsTable[[#This Row],[BatchMeansHalfWidth]])</f>
        <v>9.9934848072064403E-2</v>
      </c>
    </row>
    <row r="138" spans="1:21" x14ac:dyDescent="0.3">
      <c r="A138" t="s">
        <v>66</v>
      </c>
      <c r="B138" t="s">
        <v>68</v>
      </c>
      <c r="C138">
        <v>9</v>
      </c>
      <c r="D138" t="s">
        <v>90</v>
      </c>
      <c r="E138" t="s">
        <v>88</v>
      </c>
      <c r="F138" t="s">
        <v>86</v>
      </c>
      <c r="G138">
        <v>1</v>
      </c>
      <c r="H138">
        <v>2E+20</v>
      </c>
      <c r="I138">
        <v>1</v>
      </c>
      <c r="J138">
        <v>1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ProjectOPERADOR_TORNONumber ScheduledResource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10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1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1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1</v>
      </c>
      <c r="U138">
        <f>IF((ContinuousStatsTable[[#This Row],[RepsRequested]]&gt;1),ContinuousStatsTable[[#This Row],[HalfWidth]],ContinuousStatsTable[[#This Row],[BatchMeansHalfWidth]])</f>
        <v>0</v>
      </c>
    </row>
    <row r="139" spans="1:21" x14ac:dyDescent="0.3">
      <c r="A139" t="s">
        <v>66</v>
      </c>
      <c r="B139" t="s">
        <v>68</v>
      </c>
      <c r="C139">
        <v>9</v>
      </c>
      <c r="D139" t="s">
        <v>91</v>
      </c>
      <c r="E139" t="s">
        <v>92</v>
      </c>
      <c r="F139" t="s">
        <v>71</v>
      </c>
      <c r="G139">
        <v>0</v>
      </c>
      <c r="H139">
        <v>2E+20</v>
      </c>
      <c r="I139">
        <v>0</v>
      </c>
      <c r="J139">
        <v>1</v>
      </c>
      <c r="K139">
        <v>0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ProjectPECAWIPEntity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10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0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0</v>
      </c>
      <c r="U139">
        <f>IF((ContinuousStatsTable[[#This Row],[RepsRequested]]&gt;1),ContinuousStatsTable[[#This Row],[HalfWidth]],ContinuousStatsTable[[#This Row],[BatchMeansHalfWidth]])</f>
        <v>0</v>
      </c>
    </row>
    <row r="140" spans="1:21" x14ac:dyDescent="0.3">
      <c r="A140" t="s">
        <v>66</v>
      </c>
      <c r="B140" t="s">
        <v>68</v>
      </c>
      <c r="C140">
        <v>9</v>
      </c>
      <c r="D140" t="s">
        <v>69</v>
      </c>
      <c r="E140" t="s">
        <v>92</v>
      </c>
      <c r="F140" t="s">
        <v>71</v>
      </c>
      <c r="G140">
        <v>2.33124105715746</v>
      </c>
      <c r="H140">
        <v>2E+20</v>
      </c>
      <c r="I140">
        <v>0</v>
      </c>
      <c r="J140">
        <v>5</v>
      </c>
      <c r="K140">
        <v>2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ProjectPICTURE_AZULWIPEntity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10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1.7449219173007218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1.1636100327840786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0.8323964728088421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0.61587295107649098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4.62111418248214</v>
      </c>
      <c r="U140">
        <f>IF((ContinuousStatsTable[[#This Row],[RepsRequested]]&gt;1),ContinuousStatsTable[[#This Row],[HalfWidth]],ContinuousStatsTable[[#This Row],[BatchMeansHalfWidth]])</f>
        <v>0.8323964728088421</v>
      </c>
    </row>
    <row r="141" spans="1:21" x14ac:dyDescent="0.3">
      <c r="A141" t="s">
        <v>66</v>
      </c>
      <c r="B141" t="s">
        <v>68</v>
      </c>
      <c r="C141">
        <v>9</v>
      </c>
      <c r="D141" t="s">
        <v>77</v>
      </c>
      <c r="E141" t="s">
        <v>92</v>
      </c>
      <c r="F141" t="s">
        <v>71</v>
      </c>
      <c r="G141">
        <v>2.4913718530767301</v>
      </c>
      <c r="H141">
        <v>2E+20</v>
      </c>
      <c r="I141">
        <v>0</v>
      </c>
      <c r="J141">
        <v>5</v>
      </c>
      <c r="K141">
        <v>1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ProjectPICTURE_VERDEWIPEntity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10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1.4932618444780983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0.52254145076226866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0.37380363545871892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0.96966120558496105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2.4913718530767301</v>
      </c>
      <c r="U141">
        <f>IF((ContinuousStatsTable[[#This Row],[RepsRequested]]&gt;1),ContinuousStatsTable[[#This Row],[HalfWidth]],ContinuousStatsTable[[#This Row],[BatchMeansHalfWidth]])</f>
        <v>0.37380363545871892</v>
      </c>
    </row>
    <row r="142" spans="1:21" x14ac:dyDescent="0.3">
      <c r="A142" t="s">
        <v>66</v>
      </c>
      <c r="B142" t="s">
        <v>68</v>
      </c>
      <c r="C142">
        <v>9</v>
      </c>
      <c r="D142" t="s">
        <v>78</v>
      </c>
      <c r="E142" t="s">
        <v>92</v>
      </c>
      <c r="F142" t="s">
        <v>71</v>
      </c>
      <c r="G142">
        <v>1.50662119761485</v>
      </c>
      <c r="H142">
        <v>2E+20</v>
      </c>
      <c r="I142">
        <v>0</v>
      </c>
      <c r="J142">
        <v>4</v>
      </c>
      <c r="K142">
        <v>4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ProjectPICTURE_VERMELHOWIPEntity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10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1.4286586600337643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0.75640588530896835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0.54110017377262498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0.67509473200672698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3.2826442810797798</v>
      </c>
      <c r="U142">
        <f>IF((ContinuousStatsTable[[#This Row],[RepsRequested]]&gt;1),ContinuousStatsTable[[#This Row],[HalfWidth]],ContinuousStatsTable[[#This Row],[BatchMeansHalfWidth]])</f>
        <v>0.54110017377262498</v>
      </c>
    </row>
    <row r="143" spans="1:21" x14ac:dyDescent="0.3">
      <c r="A143" t="s">
        <v>66</v>
      </c>
      <c r="B143" t="s">
        <v>68</v>
      </c>
      <c r="C143">
        <v>9</v>
      </c>
      <c r="D143" t="s">
        <v>79</v>
      </c>
      <c r="E143" t="s">
        <v>93</v>
      </c>
      <c r="F143" t="s">
        <v>81</v>
      </c>
      <c r="G143">
        <v>0.54484529082258804</v>
      </c>
      <c r="H143">
        <v>2E+20</v>
      </c>
      <c r="I143">
        <v>0</v>
      </c>
      <c r="J143">
        <v>2</v>
      </c>
      <c r="K143">
        <v>0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ProjectProcesso Cortadeira.QueueNumber WaitingQueue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10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0.53038558221716525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0.39245895765901451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0.28074822567142471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9.2510237370042006E-2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1.3344747615452</v>
      </c>
      <c r="U143">
        <f>IF((ContinuousStatsTable[[#This Row],[RepsRequested]]&gt;1),ContinuousStatsTable[[#This Row],[HalfWidth]],ContinuousStatsTable[[#This Row],[BatchMeansHalfWidth]])</f>
        <v>0.28074822567142471</v>
      </c>
    </row>
    <row r="144" spans="1:21" x14ac:dyDescent="0.3">
      <c r="A144" t="s">
        <v>66</v>
      </c>
      <c r="B144" t="s">
        <v>68</v>
      </c>
      <c r="C144">
        <v>9</v>
      </c>
      <c r="D144" t="s">
        <v>82</v>
      </c>
      <c r="E144" t="s">
        <v>93</v>
      </c>
      <c r="F144" t="s">
        <v>81</v>
      </c>
      <c r="G144">
        <v>0.74764143964657803</v>
      </c>
      <c r="H144">
        <v>2E+20</v>
      </c>
      <c r="I144">
        <v>0</v>
      </c>
      <c r="J144">
        <v>3</v>
      </c>
      <c r="K144">
        <v>0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ProjectProcesso Lixadeira.QueueNumber WaitingQueue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10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0.2467605477410765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0.20931915451334221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0.14973790273305995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2.27129878205608E-2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0.74764143964657803</v>
      </c>
      <c r="U144">
        <f>IF((ContinuousStatsTable[[#This Row],[RepsRequested]]&gt;1),ContinuousStatsTable[[#This Row],[HalfWidth]],ContinuousStatsTable[[#This Row],[BatchMeansHalfWidth]])</f>
        <v>0.14973790273305995</v>
      </c>
    </row>
    <row r="145" spans="1:21" x14ac:dyDescent="0.3">
      <c r="A145" t="s">
        <v>66</v>
      </c>
      <c r="B145" t="s">
        <v>68</v>
      </c>
      <c r="C145">
        <v>9</v>
      </c>
      <c r="D145" t="s">
        <v>83</v>
      </c>
      <c r="E145" t="s">
        <v>93</v>
      </c>
      <c r="F145" t="s">
        <v>81</v>
      </c>
      <c r="G145">
        <v>2.2327380257494802</v>
      </c>
      <c r="H145">
        <v>2E+20</v>
      </c>
      <c r="I145">
        <v>0</v>
      </c>
      <c r="J145">
        <v>5</v>
      </c>
      <c r="K145">
        <v>3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ProjectProcesso Torno.QueueNumber WaitingQueue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10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1.548257740428852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1.5672595927449962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1.1211499731189045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0.40125442877856599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5.62509510911375</v>
      </c>
      <c r="U145">
        <f>IF((ContinuousStatsTable[[#This Row],[RepsRequested]]&gt;1),ContinuousStatsTable[[#This Row],[HalfWidth]],ContinuousStatsTable[[#This Row],[BatchMeansHalfWidth]])</f>
        <v>1.1211499731189045</v>
      </c>
    </row>
    <row r="146" spans="1:21" x14ac:dyDescent="0.3">
      <c r="A146" t="s">
        <v>66</v>
      </c>
      <c r="B146" t="s">
        <v>68</v>
      </c>
      <c r="C146">
        <v>10</v>
      </c>
      <c r="D146" t="s">
        <v>84</v>
      </c>
      <c r="E146" t="s">
        <v>85</v>
      </c>
      <c r="F146" t="s">
        <v>86</v>
      </c>
      <c r="G146">
        <v>0.591351880247172</v>
      </c>
      <c r="H146">
        <v>2E+20</v>
      </c>
      <c r="I146">
        <v>0</v>
      </c>
      <c r="J146">
        <v>1</v>
      </c>
      <c r="K146">
        <v>1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ProjectOPERADOR_CORTEInstantaneous UtilizationResource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10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0.50548165778050103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0.90373198712706704</v>
      </c>
      <c r="U146">
        <f>IF((ContinuousStatsTable[[#This Row],[RepsRequested]]&gt;1),ContinuousStatsTable[[#This Row],[HalfWidth]],ContinuousStatsTable[[#This Row],[BatchMeansHalfWidth]])</f>
        <v>9.5209427409943759E-2</v>
      </c>
    </row>
    <row r="147" spans="1:21" x14ac:dyDescent="0.3">
      <c r="A147" t="s">
        <v>66</v>
      </c>
      <c r="B147" t="s">
        <v>68</v>
      </c>
      <c r="C147">
        <v>10</v>
      </c>
      <c r="D147" t="s">
        <v>84</v>
      </c>
      <c r="E147" t="s">
        <v>87</v>
      </c>
      <c r="F147" t="s">
        <v>86</v>
      </c>
      <c r="G147">
        <v>0.591351880247172</v>
      </c>
      <c r="H147">
        <v>2E+20</v>
      </c>
      <c r="I147">
        <v>0</v>
      </c>
      <c r="J147">
        <v>1</v>
      </c>
      <c r="K147">
        <v>1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ProjectOPERADOR_CORTENumber BusyResource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10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0.66328097868598235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0.13309360211006072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9.5209427409943759E-2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0.50548165778050103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0.90373198712706704</v>
      </c>
      <c r="U147">
        <f>IF((ContinuousStatsTable[[#This Row],[RepsRequested]]&gt;1),ContinuousStatsTable[[#This Row],[HalfWidth]],ContinuousStatsTable[[#This Row],[BatchMeansHalfWidth]])</f>
        <v>9.5209427409943759E-2</v>
      </c>
    </row>
    <row r="148" spans="1:21" x14ac:dyDescent="0.3">
      <c r="A148" t="s">
        <v>66</v>
      </c>
      <c r="B148" t="s">
        <v>68</v>
      </c>
      <c r="C148">
        <v>10</v>
      </c>
      <c r="D148" t="s">
        <v>84</v>
      </c>
      <c r="E148" t="s">
        <v>88</v>
      </c>
      <c r="F148" t="s">
        <v>86</v>
      </c>
      <c r="G148">
        <v>1</v>
      </c>
      <c r="H148">
        <v>2E+20</v>
      </c>
      <c r="I148">
        <v>1</v>
      </c>
      <c r="J148">
        <v>1</v>
      </c>
      <c r="K148">
        <v>1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ProjectOPERADOR_CORTENumber ScheduledResource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10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1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1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1</v>
      </c>
      <c r="U148">
        <f>IF((ContinuousStatsTable[[#This Row],[RepsRequested]]&gt;1),ContinuousStatsTable[[#This Row],[HalfWidth]],ContinuousStatsTable[[#This Row],[BatchMeansHalfWidth]])</f>
        <v>0</v>
      </c>
    </row>
    <row r="149" spans="1:21" x14ac:dyDescent="0.3">
      <c r="A149" t="s">
        <v>66</v>
      </c>
      <c r="B149" t="s">
        <v>68</v>
      </c>
      <c r="C149">
        <v>10</v>
      </c>
      <c r="D149" t="s">
        <v>89</v>
      </c>
      <c r="E149" t="s">
        <v>85</v>
      </c>
      <c r="F149" t="s">
        <v>86</v>
      </c>
      <c r="G149">
        <v>0.54016138164490002</v>
      </c>
      <c r="H149">
        <v>2E+20</v>
      </c>
      <c r="I149">
        <v>0</v>
      </c>
      <c r="J149">
        <v>1</v>
      </c>
      <c r="K149">
        <v>1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ProjectOPERADOR_LIXADEIRAInstantaneous UtilizationResource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10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0.48262851817987601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0.85064625227951796</v>
      </c>
      <c r="U149">
        <f>IF((ContinuousStatsTable[[#This Row],[RepsRequested]]&gt;1),ContinuousStatsTable[[#This Row],[HalfWidth]],ContinuousStatsTable[[#This Row],[BatchMeansHalfWidth]])</f>
        <v>8.0588572823863613E-2</v>
      </c>
    </row>
    <row r="150" spans="1:21" x14ac:dyDescent="0.3">
      <c r="A150" t="s">
        <v>66</v>
      </c>
      <c r="B150" t="s">
        <v>68</v>
      </c>
      <c r="C150">
        <v>10</v>
      </c>
      <c r="D150" t="s">
        <v>89</v>
      </c>
      <c r="E150" t="s">
        <v>87</v>
      </c>
      <c r="F150" t="s">
        <v>86</v>
      </c>
      <c r="G150">
        <v>0.54016138164490002</v>
      </c>
      <c r="H150">
        <v>2E+20</v>
      </c>
      <c r="I150">
        <v>0</v>
      </c>
      <c r="J150">
        <v>1</v>
      </c>
      <c r="K150">
        <v>1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ProjectOPERADOR_LIXADEIRANumber BusyResource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10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0.61388612230942741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0.11265505672935852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8.0588572823863613E-2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0.48262851817987601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0.85064625227951796</v>
      </c>
      <c r="U150">
        <f>IF((ContinuousStatsTable[[#This Row],[RepsRequested]]&gt;1),ContinuousStatsTable[[#This Row],[HalfWidth]],ContinuousStatsTable[[#This Row],[BatchMeansHalfWidth]])</f>
        <v>8.0588572823863613E-2</v>
      </c>
    </row>
    <row r="151" spans="1:21" x14ac:dyDescent="0.3">
      <c r="A151" t="s">
        <v>66</v>
      </c>
      <c r="B151" t="s">
        <v>68</v>
      </c>
      <c r="C151">
        <v>10</v>
      </c>
      <c r="D151" t="s">
        <v>89</v>
      </c>
      <c r="E151" t="s">
        <v>88</v>
      </c>
      <c r="F151" t="s">
        <v>86</v>
      </c>
      <c r="G151">
        <v>1</v>
      </c>
      <c r="H151">
        <v>2E+20</v>
      </c>
      <c r="I151">
        <v>1</v>
      </c>
      <c r="J151">
        <v>1</v>
      </c>
      <c r="K151">
        <v>1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ProjectOPERADOR_LIXADEIRANumber ScheduledResource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10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1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1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1</v>
      </c>
      <c r="U151">
        <f>IF((ContinuousStatsTable[[#This Row],[RepsRequested]]&gt;1),ContinuousStatsTable[[#This Row],[HalfWidth]],ContinuousStatsTable[[#This Row],[BatchMeansHalfWidth]])</f>
        <v>0</v>
      </c>
    </row>
    <row r="152" spans="1:21" x14ac:dyDescent="0.3">
      <c r="A152" t="s">
        <v>66</v>
      </c>
      <c r="B152" t="s">
        <v>68</v>
      </c>
      <c r="C152">
        <v>10</v>
      </c>
      <c r="D152" t="s">
        <v>90</v>
      </c>
      <c r="E152" t="s">
        <v>85</v>
      </c>
      <c r="F152" t="s">
        <v>86</v>
      </c>
      <c r="G152">
        <v>0.77632496154094799</v>
      </c>
      <c r="H152">
        <v>2E+20</v>
      </c>
      <c r="I152">
        <v>0</v>
      </c>
      <c r="J152">
        <v>1</v>
      </c>
      <c r="K152">
        <v>0</v>
      </c>
      <c r="L152">
        <v>0</v>
      </c>
      <c r="M152" t="str">
        <f>ContinuousStatsTable[[#This Row],[ProjectName]]&amp;ContinuousStatsTable[[#This Row],[Name]]&amp;ContinuousStatsTable[[#This Row],[Type]]&amp;ContinuousStatsTable[[#This Row],[Source]]</f>
        <v>Unnamed ProjectOPERADOR_TORNOInstantaneous UtilizationResource</v>
      </c>
      <c r="N152" cm="1">
        <f t="array" ref="N152">MAX(IF((ProjectInfoTable[ProjectName]=ContinuousStatsTable[[#This Row],[ProjectName]]),(ProjectInfoTable[ProjectName]=ContinuousStatsTable[[#This Row],[ProjectName]])*ProjectInfoTable[NumberOfReplications]))</f>
        <v>10</v>
      </c>
      <c r="O152" cm="1">
        <f t="array" ref="O152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152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152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152" cm="1">
        <f t="array" ref="S152">MIN(IF((ContinuousStatsTable[GroupByKey]=ContinuousStatsTable[[#This Row],[GroupByKey]]),(ContinuousStatsTable[GroupByKey]=ContinuousStatsTable[[#This Row],[GroupByKey]])*ContinuousStatsTable[Average]))</f>
        <v>0.51379543219592505</v>
      </c>
      <c r="T152" cm="1">
        <f t="array" ref="T152">MAX(IF((ContinuousStatsTable[GroupByKey]=ContinuousStatsTable[[#This Row],[GroupByKey]]),(ContinuousStatsTable[GroupByKey]=ContinuousStatsTable[[#This Row],[GroupByKey]])*ContinuousStatsTable[Average]))</f>
        <v>0.98397972672724299</v>
      </c>
      <c r="U152">
        <f>IF((ContinuousStatsTable[[#This Row],[RepsRequested]]&gt;1),ContinuousStatsTable[[#This Row],[HalfWidth]],ContinuousStatsTable[[#This Row],[BatchMeansHalfWidth]])</f>
        <v>9.9934848072064403E-2</v>
      </c>
    </row>
    <row r="153" spans="1:21" x14ac:dyDescent="0.3">
      <c r="A153" t="s">
        <v>66</v>
      </c>
      <c r="B153" t="s">
        <v>68</v>
      </c>
      <c r="C153">
        <v>10</v>
      </c>
      <c r="D153" t="s">
        <v>90</v>
      </c>
      <c r="E153" t="s">
        <v>87</v>
      </c>
      <c r="F153" t="s">
        <v>86</v>
      </c>
      <c r="G153">
        <v>0.77632496154094799</v>
      </c>
      <c r="H153">
        <v>2E+20</v>
      </c>
      <c r="I153">
        <v>0</v>
      </c>
      <c r="J153">
        <v>1</v>
      </c>
      <c r="K153">
        <v>0</v>
      </c>
      <c r="L153">
        <v>0</v>
      </c>
      <c r="M153" t="str">
        <f>ContinuousStatsTable[[#This Row],[ProjectName]]&amp;ContinuousStatsTable[[#This Row],[Name]]&amp;ContinuousStatsTable[[#This Row],[Type]]&amp;ContinuousStatsTable[[#This Row],[Source]]</f>
        <v>Unnamed ProjectOPERADOR_TORNONumber BusyResource</v>
      </c>
      <c r="N153" cm="1">
        <f t="array" ref="N153">MAX(IF((ProjectInfoTable[ProjectName]=ContinuousStatsTable[[#This Row],[ProjectName]]),(ProjectInfoTable[ProjectName]=ContinuousStatsTable[[#This Row],[ProjectName]])*ProjectInfoTable[NumberOfReplications]))</f>
        <v>10</v>
      </c>
      <c r="O153" cm="1">
        <f t="array" ref="O153">IFERROR(AVERAGE(IF((ContinuousStatsTable[GroupByKey]=ContinuousStatsTable[[#This Row],[GroupByKey]]),(ContinuousStatsTable[GroupByKey]=ContinuousStatsTable[[#This Row],[GroupByKey]])*ContinuousStatsTable[Average])),0)</f>
        <v>0.82376875514414072</v>
      </c>
      <c r="P153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0.13969928470385456</v>
      </c>
      <c r="Q153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9.9934848072064403E-2</v>
      </c>
      <c r="S153" cm="1">
        <f t="array" ref="S153">MIN(IF((ContinuousStatsTable[GroupByKey]=ContinuousStatsTable[[#This Row],[GroupByKey]]),(ContinuousStatsTable[GroupByKey]=ContinuousStatsTable[[#This Row],[GroupByKey]])*ContinuousStatsTable[Average]))</f>
        <v>0.51379543219592505</v>
      </c>
      <c r="T153" cm="1">
        <f t="array" ref="T153">MAX(IF((ContinuousStatsTable[GroupByKey]=ContinuousStatsTable[[#This Row],[GroupByKey]]),(ContinuousStatsTable[GroupByKey]=ContinuousStatsTable[[#This Row],[GroupByKey]])*ContinuousStatsTable[Average]))</f>
        <v>0.98397972672724299</v>
      </c>
      <c r="U153">
        <f>IF((ContinuousStatsTable[[#This Row],[RepsRequested]]&gt;1),ContinuousStatsTable[[#This Row],[HalfWidth]],ContinuousStatsTable[[#This Row],[BatchMeansHalfWidth]])</f>
        <v>9.9934848072064403E-2</v>
      </c>
    </row>
    <row r="154" spans="1:21" x14ac:dyDescent="0.3">
      <c r="A154" t="s">
        <v>66</v>
      </c>
      <c r="B154" t="s">
        <v>68</v>
      </c>
      <c r="C154">
        <v>10</v>
      </c>
      <c r="D154" t="s">
        <v>90</v>
      </c>
      <c r="E154" t="s">
        <v>88</v>
      </c>
      <c r="F154" t="s">
        <v>86</v>
      </c>
      <c r="G154">
        <v>1</v>
      </c>
      <c r="H154">
        <v>2E+20</v>
      </c>
      <c r="I154">
        <v>1</v>
      </c>
      <c r="J154">
        <v>1</v>
      </c>
      <c r="K154">
        <v>1</v>
      </c>
      <c r="L154">
        <v>0</v>
      </c>
      <c r="M154" t="str">
        <f>ContinuousStatsTable[[#This Row],[ProjectName]]&amp;ContinuousStatsTable[[#This Row],[Name]]&amp;ContinuousStatsTable[[#This Row],[Type]]&amp;ContinuousStatsTable[[#This Row],[Source]]</f>
        <v>Unnamed ProjectOPERADOR_TORNONumber ScheduledResource</v>
      </c>
      <c r="N154" cm="1">
        <f t="array" ref="N154">MAX(IF((ProjectInfoTable[ProjectName]=ContinuousStatsTable[[#This Row],[ProjectName]]),(ProjectInfoTable[ProjectName]=ContinuousStatsTable[[#This Row],[ProjectName]])*ProjectInfoTable[NumberOfReplications]))</f>
        <v>10</v>
      </c>
      <c r="O154" cm="1">
        <f t="array" ref="O154">IFERROR(AVERAGE(IF((ContinuousStatsTable[GroupByKey]=ContinuousStatsTable[[#This Row],[GroupByKey]]),(ContinuousStatsTable[GroupByKey]=ContinuousStatsTable[[#This Row],[GroupByKey]])*ContinuousStatsTable[Average])),0)</f>
        <v>1</v>
      </c>
      <c r="P154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</v>
      </c>
      <c r="Q154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4" cm="1">
        <f t="array" ref="S154">MIN(IF((ContinuousStatsTable[GroupByKey]=ContinuousStatsTable[[#This Row],[GroupByKey]]),(ContinuousStatsTable[GroupByKey]=ContinuousStatsTable[[#This Row],[GroupByKey]])*ContinuousStatsTable[Average]))</f>
        <v>1</v>
      </c>
      <c r="T154" cm="1">
        <f t="array" ref="T154">MAX(IF((ContinuousStatsTable[GroupByKey]=ContinuousStatsTable[[#This Row],[GroupByKey]]),(ContinuousStatsTable[GroupByKey]=ContinuousStatsTable[[#This Row],[GroupByKey]])*ContinuousStatsTable[Average]))</f>
        <v>1</v>
      </c>
      <c r="U154">
        <f>IF((ContinuousStatsTable[[#This Row],[RepsRequested]]&gt;1),ContinuousStatsTable[[#This Row],[HalfWidth]],ContinuousStatsTable[[#This Row],[BatchMeansHalfWidth]])</f>
        <v>0</v>
      </c>
    </row>
    <row r="155" spans="1:21" x14ac:dyDescent="0.3">
      <c r="A155" t="s">
        <v>66</v>
      </c>
      <c r="B155" t="s">
        <v>68</v>
      </c>
      <c r="C155">
        <v>10</v>
      </c>
      <c r="D155" t="s">
        <v>91</v>
      </c>
      <c r="E155" t="s">
        <v>92</v>
      </c>
      <c r="F155" t="s">
        <v>71</v>
      </c>
      <c r="G155">
        <v>0</v>
      </c>
      <c r="H155">
        <v>2E+20</v>
      </c>
      <c r="I155">
        <v>0</v>
      </c>
      <c r="J155">
        <v>1</v>
      </c>
      <c r="K155">
        <v>0</v>
      </c>
      <c r="L155">
        <v>0</v>
      </c>
      <c r="M155" t="str">
        <f>ContinuousStatsTable[[#This Row],[ProjectName]]&amp;ContinuousStatsTable[[#This Row],[Name]]&amp;ContinuousStatsTable[[#This Row],[Type]]&amp;ContinuousStatsTable[[#This Row],[Source]]</f>
        <v>Unnamed ProjectPECAWIPEntity</v>
      </c>
      <c r="N155" cm="1">
        <f t="array" ref="N155">MAX(IF((ProjectInfoTable[ProjectName]=ContinuousStatsTable[[#This Row],[ProjectName]]),(ProjectInfoTable[ProjectName]=ContinuousStatsTable[[#This Row],[ProjectName]])*ProjectInfoTable[NumberOfReplications]))</f>
        <v>10</v>
      </c>
      <c r="O155" cm="1">
        <f t="array" ref="O155">IFERROR(AVERAGE(IF((ContinuousStatsTable[GroupByKey]=ContinuousStatsTable[[#This Row],[GroupByKey]]),(ContinuousStatsTable[GroupByKey]=ContinuousStatsTable[[#This Row],[GroupByKey]])*ContinuousStatsTable[Average])),0)</f>
        <v>0</v>
      </c>
      <c r="P15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</v>
      </c>
      <c r="Q15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5" cm="1">
        <f t="array" ref="S155">MIN(IF((ContinuousStatsTable[GroupByKey]=ContinuousStatsTable[[#This Row],[GroupByKey]]),(ContinuousStatsTable[GroupByKey]=ContinuousStatsTable[[#This Row],[GroupByKey]])*ContinuousStatsTable[Average]))</f>
        <v>0</v>
      </c>
      <c r="T155" cm="1">
        <f t="array" ref="T155">MAX(IF((ContinuousStatsTable[GroupByKey]=ContinuousStatsTable[[#This Row],[GroupByKey]]),(ContinuousStatsTable[GroupByKey]=ContinuousStatsTable[[#This Row],[GroupByKey]])*ContinuousStatsTable[Average]))</f>
        <v>0</v>
      </c>
      <c r="U155">
        <f>IF((ContinuousStatsTable[[#This Row],[RepsRequested]]&gt;1),ContinuousStatsTable[[#This Row],[HalfWidth]],ContinuousStatsTable[[#This Row],[BatchMeansHalfWidth]])</f>
        <v>0</v>
      </c>
    </row>
    <row r="156" spans="1:21" x14ac:dyDescent="0.3">
      <c r="A156" t="s">
        <v>66</v>
      </c>
      <c r="B156" t="s">
        <v>68</v>
      </c>
      <c r="C156">
        <v>10</v>
      </c>
      <c r="D156" t="s">
        <v>69</v>
      </c>
      <c r="E156" t="s">
        <v>92</v>
      </c>
      <c r="F156" t="s">
        <v>71</v>
      </c>
      <c r="G156">
        <v>1.0433079284686899</v>
      </c>
      <c r="H156">
        <v>2E+20</v>
      </c>
      <c r="I156">
        <v>0</v>
      </c>
      <c r="J156">
        <v>3</v>
      </c>
      <c r="K156">
        <v>0</v>
      </c>
      <c r="L156">
        <v>0</v>
      </c>
      <c r="M156" t="str">
        <f>ContinuousStatsTable[[#This Row],[ProjectName]]&amp;ContinuousStatsTable[[#This Row],[Name]]&amp;ContinuousStatsTable[[#This Row],[Type]]&amp;ContinuousStatsTable[[#This Row],[Source]]</f>
        <v>Unnamed ProjectPICTURE_AZULWIPEntity</v>
      </c>
      <c r="N156" cm="1">
        <f t="array" ref="N156">MAX(IF((ProjectInfoTable[ProjectName]=ContinuousStatsTable[[#This Row],[ProjectName]]),(ProjectInfoTable[ProjectName]=ContinuousStatsTable[[#This Row],[ProjectName]])*ProjectInfoTable[NumberOfReplications]))</f>
        <v>10</v>
      </c>
      <c r="O156" cm="1">
        <f t="array" ref="O156">IFERROR(AVERAGE(IF((ContinuousStatsTable[GroupByKey]=ContinuousStatsTable[[#This Row],[GroupByKey]]),(ContinuousStatsTable[GroupByKey]=ContinuousStatsTable[[#This Row],[GroupByKey]])*ContinuousStatsTable[Average])),0)</f>
        <v>1.7449219173007218</v>
      </c>
      <c r="P156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1.1636100327840786</v>
      </c>
      <c r="Q156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0.8323964728088421</v>
      </c>
      <c r="S156" cm="1">
        <f t="array" ref="S156">MIN(IF((ContinuousStatsTable[GroupByKey]=ContinuousStatsTable[[#This Row],[GroupByKey]]),(ContinuousStatsTable[GroupByKey]=ContinuousStatsTable[[#This Row],[GroupByKey]])*ContinuousStatsTable[Average]))</f>
        <v>0.61587295107649098</v>
      </c>
      <c r="T156" cm="1">
        <f t="array" ref="T156">MAX(IF((ContinuousStatsTable[GroupByKey]=ContinuousStatsTable[[#This Row],[GroupByKey]]),(ContinuousStatsTable[GroupByKey]=ContinuousStatsTable[[#This Row],[GroupByKey]])*ContinuousStatsTable[Average]))</f>
        <v>4.62111418248214</v>
      </c>
      <c r="U156">
        <f>IF((ContinuousStatsTable[[#This Row],[RepsRequested]]&gt;1),ContinuousStatsTable[[#This Row],[HalfWidth]],ContinuousStatsTable[[#This Row],[BatchMeansHalfWidth]])</f>
        <v>0.8323964728088421</v>
      </c>
    </row>
    <row r="157" spans="1:21" x14ac:dyDescent="0.3">
      <c r="A157" t="s">
        <v>66</v>
      </c>
      <c r="B157" t="s">
        <v>68</v>
      </c>
      <c r="C157">
        <v>10</v>
      </c>
      <c r="D157" t="s">
        <v>77</v>
      </c>
      <c r="E157" t="s">
        <v>92</v>
      </c>
      <c r="F157" t="s">
        <v>71</v>
      </c>
      <c r="G157">
        <v>1.3532955149691801</v>
      </c>
      <c r="H157">
        <v>2E+20</v>
      </c>
      <c r="I157">
        <v>0</v>
      </c>
      <c r="J157">
        <v>4</v>
      </c>
      <c r="K157">
        <v>3</v>
      </c>
      <c r="L157">
        <v>0</v>
      </c>
      <c r="M157" t="str">
        <f>ContinuousStatsTable[[#This Row],[ProjectName]]&amp;ContinuousStatsTable[[#This Row],[Name]]&amp;ContinuousStatsTable[[#This Row],[Type]]&amp;ContinuousStatsTable[[#This Row],[Source]]</f>
        <v>Unnamed ProjectPICTURE_VERDEWIPEntity</v>
      </c>
      <c r="N157" cm="1">
        <f t="array" ref="N157">MAX(IF((ProjectInfoTable[ProjectName]=ContinuousStatsTable[[#This Row],[ProjectName]]),(ProjectInfoTable[ProjectName]=ContinuousStatsTable[[#This Row],[ProjectName]])*ProjectInfoTable[NumberOfReplications]))</f>
        <v>10</v>
      </c>
      <c r="O157" cm="1">
        <f t="array" ref="O157">IFERROR(AVERAGE(IF((ContinuousStatsTable[GroupByKey]=ContinuousStatsTable[[#This Row],[GroupByKey]]),(ContinuousStatsTable[GroupByKey]=ContinuousStatsTable[[#This Row],[GroupByKey]])*ContinuousStatsTable[Average])),0)</f>
        <v>1.4932618444780983</v>
      </c>
      <c r="P157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0.52254145076226866</v>
      </c>
      <c r="Q157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0.37380363545871892</v>
      </c>
      <c r="S157" cm="1">
        <f t="array" ref="S157">MIN(IF((ContinuousStatsTable[GroupByKey]=ContinuousStatsTable[[#This Row],[GroupByKey]]),(ContinuousStatsTable[GroupByKey]=ContinuousStatsTable[[#This Row],[GroupByKey]])*ContinuousStatsTable[Average]))</f>
        <v>0.96966120558496105</v>
      </c>
      <c r="T157" cm="1">
        <f t="array" ref="T157">MAX(IF((ContinuousStatsTable[GroupByKey]=ContinuousStatsTable[[#This Row],[GroupByKey]]),(ContinuousStatsTable[GroupByKey]=ContinuousStatsTable[[#This Row],[GroupByKey]])*ContinuousStatsTable[Average]))</f>
        <v>2.4913718530767301</v>
      </c>
      <c r="U157">
        <f>IF((ContinuousStatsTable[[#This Row],[RepsRequested]]&gt;1),ContinuousStatsTable[[#This Row],[HalfWidth]],ContinuousStatsTable[[#This Row],[BatchMeansHalfWidth]])</f>
        <v>0.37380363545871892</v>
      </c>
    </row>
    <row r="158" spans="1:21" x14ac:dyDescent="0.3">
      <c r="A158" t="s">
        <v>66</v>
      </c>
      <c r="B158" t="s">
        <v>68</v>
      </c>
      <c r="C158">
        <v>10</v>
      </c>
      <c r="D158" t="s">
        <v>78</v>
      </c>
      <c r="E158" t="s">
        <v>92</v>
      </c>
      <c r="F158" t="s">
        <v>71</v>
      </c>
      <c r="G158">
        <v>0.99648064954770399</v>
      </c>
      <c r="H158">
        <v>2E+20</v>
      </c>
      <c r="I158">
        <v>0</v>
      </c>
      <c r="J158">
        <v>2</v>
      </c>
      <c r="K158">
        <v>1</v>
      </c>
      <c r="L158">
        <v>0</v>
      </c>
      <c r="M158" t="str">
        <f>ContinuousStatsTable[[#This Row],[ProjectName]]&amp;ContinuousStatsTable[[#This Row],[Name]]&amp;ContinuousStatsTable[[#This Row],[Type]]&amp;ContinuousStatsTable[[#This Row],[Source]]</f>
        <v>Unnamed ProjectPICTURE_VERMELHOWIPEntity</v>
      </c>
      <c r="N158" cm="1">
        <f t="array" ref="N158">MAX(IF((ProjectInfoTable[ProjectName]=ContinuousStatsTable[[#This Row],[ProjectName]]),(ProjectInfoTable[ProjectName]=ContinuousStatsTable[[#This Row],[ProjectName]])*ProjectInfoTable[NumberOfReplications]))</f>
        <v>10</v>
      </c>
      <c r="O158" cm="1">
        <f t="array" ref="O158">IFERROR(AVERAGE(IF((ContinuousStatsTable[GroupByKey]=ContinuousStatsTable[[#This Row],[GroupByKey]]),(ContinuousStatsTable[GroupByKey]=ContinuousStatsTable[[#This Row],[GroupByKey]])*ContinuousStatsTable[Average])),0)</f>
        <v>1.4286586600337643</v>
      </c>
      <c r="P158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0.75640588530896835</v>
      </c>
      <c r="Q158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0.54110017377262498</v>
      </c>
      <c r="S158" cm="1">
        <f t="array" ref="S158">MIN(IF((ContinuousStatsTable[GroupByKey]=ContinuousStatsTable[[#This Row],[GroupByKey]]),(ContinuousStatsTable[GroupByKey]=ContinuousStatsTable[[#This Row],[GroupByKey]])*ContinuousStatsTable[Average]))</f>
        <v>0.67509473200672698</v>
      </c>
      <c r="T158" cm="1">
        <f t="array" ref="T158">MAX(IF((ContinuousStatsTable[GroupByKey]=ContinuousStatsTable[[#This Row],[GroupByKey]]),(ContinuousStatsTable[GroupByKey]=ContinuousStatsTable[[#This Row],[GroupByKey]])*ContinuousStatsTable[Average]))</f>
        <v>3.2826442810797798</v>
      </c>
      <c r="U158">
        <f>IF((ContinuousStatsTable[[#This Row],[RepsRequested]]&gt;1),ContinuousStatsTable[[#This Row],[HalfWidth]],ContinuousStatsTable[[#This Row],[BatchMeansHalfWidth]])</f>
        <v>0.54110017377262498</v>
      </c>
    </row>
    <row r="159" spans="1:21" x14ac:dyDescent="0.3">
      <c r="A159" t="s">
        <v>66</v>
      </c>
      <c r="B159" t="s">
        <v>68</v>
      </c>
      <c r="C159">
        <v>10</v>
      </c>
      <c r="D159" t="s">
        <v>79</v>
      </c>
      <c r="E159" t="s">
        <v>93</v>
      </c>
      <c r="F159" t="s">
        <v>81</v>
      </c>
      <c r="G159">
        <v>0.41449662902965401</v>
      </c>
      <c r="H159">
        <v>2E+20</v>
      </c>
      <c r="I159">
        <v>0</v>
      </c>
      <c r="J159">
        <v>3</v>
      </c>
      <c r="K159">
        <v>0</v>
      </c>
      <c r="L159">
        <v>0</v>
      </c>
      <c r="M159" t="str">
        <f>ContinuousStatsTable[[#This Row],[ProjectName]]&amp;ContinuousStatsTable[[#This Row],[Name]]&amp;ContinuousStatsTable[[#This Row],[Type]]&amp;ContinuousStatsTable[[#This Row],[Source]]</f>
        <v>Unnamed ProjectProcesso Cortadeira.QueueNumber WaitingQueue</v>
      </c>
      <c r="N159" cm="1">
        <f t="array" ref="N159">MAX(IF((ProjectInfoTable[ProjectName]=ContinuousStatsTable[[#This Row],[ProjectName]]),(ProjectInfoTable[ProjectName]=ContinuousStatsTable[[#This Row],[ProjectName]])*ProjectInfoTable[NumberOfReplications]))</f>
        <v>10</v>
      </c>
      <c r="O159" cm="1">
        <f t="array" ref="O159">IFERROR(AVERAGE(IF((ContinuousStatsTable[GroupByKey]=ContinuousStatsTable[[#This Row],[GroupByKey]]),(ContinuousStatsTable[GroupByKey]=ContinuousStatsTable[[#This Row],[GroupByKey]])*ContinuousStatsTable[Average])),0)</f>
        <v>0.53038558221716525</v>
      </c>
      <c r="P159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0.39245895765901451</v>
      </c>
      <c r="Q159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0.28074822567142471</v>
      </c>
      <c r="S159" cm="1">
        <f t="array" ref="S159">MIN(IF((ContinuousStatsTable[GroupByKey]=ContinuousStatsTable[[#This Row],[GroupByKey]]),(ContinuousStatsTable[GroupByKey]=ContinuousStatsTable[[#This Row],[GroupByKey]])*ContinuousStatsTable[Average]))</f>
        <v>9.2510237370042006E-2</v>
      </c>
      <c r="T159" cm="1">
        <f t="array" ref="T159">MAX(IF((ContinuousStatsTable[GroupByKey]=ContinuousStatsTable[[#This Row],[GroupByKey]]),(ContinuousStatsTable[GroupByKey]=ContinuousStatsTable[[#This Row],[GroupByKey]])*ContinuousStatsTable[Average]))</f>
        <v>1.3344747615452</v>
      </c>
      <c r="U159">
        <f>IF((ContinuousStatsTable[[#This Row],[RepsRequested]]&gt;1),ContinuousStatsTable[[#This Row],[HalfWidth]],ContinuousStatsTable[[#This Row],[BatchMeansHalfWidth]])</f>
        <v>0.28074822567142471</v>
      </c>
    </row>
    <row r="160" spans="1:21" x14ac:dyDescent="0.3">
      <c r="A160" t="s">
        <v>66</v>
      </c>
      <c r="B160" t="s">
        <v>68</v>
      </c>
      <c r="C160">
        <v>10</v>
      </c>
      <c r="D160" t="s">
        <v>82</v>
      </c>
      <c r="E160" t="s">
        <v>93</v>
      </c>
      <c r="F160" t="s">
        <v>81</v>
      </c>
      <c r="G160">
        <v>0.25711261059447299</v>
      </c>
      <c r="H160">
        <v>2E+20</v>
      </c>
      <c r="I160">
        <v>0</v>
      </c>
      <c r="J160">
        <v>2</v>
      </c>
      <c r="K160">
        <v>2</v>
      </c>
      <c r="L160">
        <v>0</v>
      </c>
      <c r="M160" t="str">
        <f>ContinuousStatsTable[[#This Row],[ProjectName]]&amp;ContinuousStatsTable[[#This Row],[Name]]&amp;ContinuousStatsTable[[#This Row],[Type]]&amp;ContinuousStatsTable[[#This Row],[Source]]</f>
        <v>Unnamed ProjectProcesso Lixadeira.QueueNumber WaitingQueue</v>
      </c>
      <c r="N160" cm="1">
        <f t="array" ref="N160">MAX(IF((ProjectInfoTable[ProjectName]=ContinuousStatsTable[[#This Row],[ProjectName]]),(ProjectInfoTable[ProjectName]=ContinuousStatsTable[[#This Row],[ProjectName]])*ProjectInfoTable[NumberOfReplications]))</f>
        <v>10</v>
      </c>
      <c r="O160" cm="1">
        <f t="array" ref="O160">IFERROR(AVERAGE(IF((ContinuousStatsTable[GroupByKey]=ContinuousStatsTable[[#This Row],[GroupByKey]]),(ContinuousStatsTable[GroupByKey]=ContinuousStatsTable[[#This Row],[GroupByKey]])*ContinuousStatsTable[Average])),0)</f>
        <v>0.2467605477410765</v>
      </c>
      <c r="P160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0.20931915451334221</v>
      </c>
      <c r="Q160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0.14973790273305995</v>
      </c>
      <c r="S160" cm="1">
        <f t="array" ref="S160">MIN(IF((ContinuousStatsTable[GroupByKey]=ContinuousStatsTable[[#This Row],[GroupByKey]]),(ContinuousStatsTable[GroupByKey]=ContinuousStatsTable[[#This Row],[GroupByKey]])*ContinuousStatsTable[Average]))</f>
        <v>2.27129878205608E-2</v>
      </c>
      <c r="T160" cm="1">
        <f t="array" ref="T160">MAX(IF((ContinuousStatsTable[GroupByKey]=ContinuousStatsTable[[#This Row],[GroupByKey]]),(ContinuousStatsTable[GroupByKey]=ContinuousStatsTable[[#This Row],[GroupByKey]])*ContinuousStatsTable[Average]))</f>
        <v>0.74764143964657803</v>
      </c>
      <c r="U160">
        <f>IF((ContinuousStatsTable[[#This Row],[RepsRequested]]&gt;1),ContinuousStatsTable[[#This Row],[HalfWidth]],ContinuousStatsTable[[#This Row],[BatchMeansHalfWidth]])</f>
        <v>0.14973790273305995</v>
      </c>
    </row>
    <row r="161" spans="1:21" x14ac:dyDescent="0.3">
      <c r="A161" t="s">
        <v>66</v>
      </c>
      <c r="B161" t="s">
        <v>68</v>
      </c>
      <c r="C161">
        <v>10</v>
      </c>
      <c r="D161" t="s">
        <v>83</v>
      </c>
      <c r="E161" t="s">
        <v>93</v>
      </c>
      <c r="F161" t="s">
        <v>81</v>
      </c>
      <c r="G161">
        <v>0.59363662992842303</v>
      </c>
      <c r="H161">
        <v>2E+20</v>
      </c>
      <c r="I161">
        <v>0</v>
      </c>
      <c r="J161">
        <v>3</v>
      </c>
      <c r="K161">
        <v>0</v>
      </c>
      <c r="L161">
        <v>0</v>
      </c>
      <c r="M161" t="str">
        <f>ContinuousStatsTable[[#This Row],[ProjectName]]&amp;ContinuousStatsTable[[#This Row],[Name]]&amp;ContinuousStatsTable[[#This Row],[Type]]&amp;ContinuousStatsTable[[#This Row],[Source]]</f>
        <v>Unnamed ProjectProcesso Torno.QueueNumber WaitingQueue</v>
      </c>
      <c r="N161" cm="1">
        <f t="array" ref="N161">MAX(IF((ProjectInfoTable[ProjectName]=ContinuousStatsTable[[#This Row],[ProjectName]]),(ProjectInfoTable[ProjectName]=ContinuousStatsTable[[#This Row],[ProjectName]])*ProjectInfoTable[NumberOfReplications]))</f>
        <v>10</v>
      </c>
      <c r="O161" cm="1">
        <f t="array" ref="O161">IFERROR(AVERAGE(IF((ContinuousStatsTable[GroupByKey]=ContinuousStatsTable[[#This Row],[GroupByKey]]),(ContinuousStatsTable[GroupByKey]=ContinuousStatsTable[[#This Row],[GroupByKey]])*ContinuousStatsTable[Average])),0)</f>
        <v>1.548257740428852</v>
      </c>
      <c r="P161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1.5672595927449962</v>
      </c>
      <c r="Q161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1.1211499731189045</v>
      </c>
      <c r="S161" cm="1">
        <f t="array" ref="S161">MIN(IF((ContinuousStatsTable[GroupByKey]=ContinuousStatsTable[[#This Row],[GroupByKey]]),(ContinuousStatsTable[GroupByKey]=ContinuousStatsTable[[#This Row],[GroupByKey]])*ContinuousStatsTable[Average]))</f>
        <v>0.40125442877856599</v>
      </c>
      <c r="T161" cm="1">
        <f t="array" ref="T161">MAX(IF((ContinuousStatsTable[GroupByKey]=ContinuousStatsTable[[#This Row],[GroupByKey]]),(ContinuousStatsTable[GroupByKey]=ContinuousStatsTable[[#This Row],[GroupByKey]])*ContinuousStatsTable[Average]))</f>
        <v>5.62509510911375</v>
      </c>
      <c r="U161">
        <f>IF((ContinuousStatsTable[[#This Row],[RepsRequested]]&gt;1),ContinuousStatsTable[[#This Row],[HalfWidth]],ContinuousStatsTable[[#This Row],[BatchMeansHalfWidth]])</f>
        <v>1.1211499731189045</v>
      </c>
    </row>
  </sheetData>
  <phoneticPr fontId="2" type="noConversion"/>
  <conditionalFormatting sqref="H2:H161">
    <cfRule type="expression" dxfId="18" priority="9">
      <formula>H2=200000000000000000000</formula>
    </cfRule>
  </conditionalFormatting>
  <conditionalFormatting sqref="H2:H161">
    <cfRule type="expression" dxfId="17" priority="7">
      <formula>H2=300000000000000000000</formula>
    </cfRule>
  </conditionalFormatting>
  <conditionalFormatting sqref="M2:U161">
    <cfRule type="expression" dxfId="16" priority="5">
      <formula>MOD(ROW(),2)=0</formula>
    </cfRule>
  </conditionalFormatting>
  <conditionalFormatting sqref="U2:U16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61 U2:U16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2" priority="2">
      <formula>MOD(ROW(),2)=0</formula>
    </cfRule>
  </conditionalFormatting>
  <conditionalFormatting sqref="M2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37.5546875" bestFit="1" customWidth="1"/>
    <col min="5" max="5" width="18.21875" bestFit="1" customWidth="1"/>
    <col min="6" max="6" width="9" bestFit="1" customWidth="1"/>
    <col min="7" max="7" width="16.109375" bestFit="1" customWidth="1"/>
    <col min="8" max="8" width="11.33203125" bestFit="1" customWidth="1"/>
    <col min="9" max="9" width="77.33203125" bestFit="1" customWidth="1"/>
    <col min="10" max="10" width="16.21875" bestFit="1" customWidth="1"/>
    <col min="11" max="11" width="12" customWidth="1"/>
    <col min="12" max="12" width="19" bestFit="1" customWidth="1"/>
    <col min="13" max="13" width="19.44140625" bestFit="1" customWidth="1"/>
    <col min="14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94</v>
      </c>
      <c r="E2" t="s">
        <v>95</v>
      </c>
      <c r="F2" t="s">
        <v>86</v>
      </c>
      <c r="G2">
        <v>18</v>
      </c>
      <c r="H2">
        <v>0</v>
      </c>
      <c r="I2" t="str">
        <f>OutputTable[[#This Row],[ProjectName]]&amp;OutputTable[[#This Row],[Name]]&amp;OutputTable[[#This Row],[Type]]&amp;OutputTable[[#This Row],[Source]]</f>
        <v>Unnamed ProjectOPERADOR_CORTE.NumberSeizedTotal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10</v>
      </c>
      <c r="K2" cm="1">
        <f t="array" ref="K2">IFERROR(AVERAGE(IF((OutputTable[GroupByKey]=OutputTable[[#This Row],[GroupByKey]]),(OutputTable[GroupByKey]=OutputTable[[#This Row],[GroupByKey]])*OutputTable[RecordedValue])),0)</f>
        <v>15.9</v>
      </c>
      <c r="L2" cm="1">
        <f t="array" ref="L2">IFERROR(_xlfn.STDEV.S(IF((OutputTable[GroupByKey]=OutputTable[[#This Row],[GroupByKey]]),(OutputTable[GroupByKey]=OutputTable[[#This Row],[GroupByKey]])*OutputTable[RecordedValue])),0)</f>
        <v>3.247221034122016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2.3229219919723874</v>
      </c>
      <c r="O2" cm="1">
        <f t="array" ref="O2">MIN(IF((OutputTable[GroupByKey]=OutputTable[[#This Row],[GroupByKey]]),(OutputTable[GroupByKey]=OutputTable[[#This Row],[GroupByKey]])*OutputTable[RecordedValue]))</f>
        <v>12</v>
      </c>
      <c r="P2" cm="1">
        <f t="array" ref="P2">MAX(IF((OutputTable[GroupByKey]=OutputTable[[#This Row],[GroupByKey]]),(OutputTable[GroupByKey]=OutputTable[[#This Row],[GroupByKey]])*OutputTable[RecordedValue]))</f>
        <v>21</v>
      </c>
    </row>
    <row r="3" spans="1:16" x14ac:dyDescent="0.3">
      <c r="A3" t="s">
        <v>66</v>
      </c>
      <c r="B3" t="s">
        <v>68</v>
      </c>
      <c r="C3">
        <v>1</v>
      </c>
      <c r="D3" t="s">
        <v>96</v>
      </c>
      <c r="E3" t="s">
        <v>97</v>
      </c>
      <c r="F3" t="s">
        <v>86</v>
      </c>
      <c r="G3">
        <v>0.739383947758675</v>
      </c>
      <c r="H3">
        <v>0</v>
      </c>
      <c r="I3" t="str">
        <f>OutputTable[[#This Row],[ProjectName]]&amp;OutputTable[[#This Row],[Name]]&amp;OutputTable[[#This Row],[Type]]&amp;OutputTable[[#This Row],[Source]]</f>
        <v>Unnamed ProjectOPERADOR_CORTE.ScheduledUtilizationScheduled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10</v>
      </c>
      <c r="K3" cm="1">
        <f t="array" ref="K3">IFERROR(AVERAGE(IF((OutputTable[GroupByKey]=OutputTable[[#This Row],[GroupByKey]]),(OutputTable[GroupByKey]=OutputTable[[#This Row],[GroupByKey]])*OutputTable[RecordedValue])),0)</f>
        <v>0.66328097868598235</v>
      </c>
      <c r="L3" cm="1">
        <f t="array" ref="L3">IFERROR(_xlfn.STDEV.S(IF((OutputTable[GroupByKey]=OutputTable[[#This Row],[GroupByKey]]),(OutputTable[GroupByKey]=OutputTable[[#This Row],[GroupByKey]])*OutputTable[RecordedValue])),0)</f>
        <v>0.13309360211006072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9.5209427409943759E-2</v>
      </c>
      <c r="O3" cm="1">
        <f t="array" ref="O3">MIN(IF((OutputTable[GroupByKey]=OutputTable[[#This Row],[GroupByKey]]),(OutputTable[GroupByKey]=OutputTable[[#This Row],[GroupByKey]])*OutputTable[RecordedValue]))</f>
        <v>0.50548165778050103</v>
      </c>
      <c r="P3" cm="1">
        <f t="array" ref="P3">MAX(IF((OutputTable[GroupByKey]=OutputTable[[#This Row],[GroupByKey]]),(OutputTable[GroupByKey]=OutputTable[[#This Row],[GroupByKey]])*OutputTable[RecordedValue]))</f>
        <v>0.90373198712706704</v>
      </c>
    </row>
    <row r="4" spans="1:16" x14ac:dyDescent="0.3">
      <c r="A4" t="s">
        <v>66</v>
      </c>
      <c r="B4" t="s">
        <v>68</v>
      </c>
      <c r="C4">
        <v>1</v>
      </c>
      <c r="D4" t="s">
        <v>98</v>
      </c>
      <c r="E4" t="s">
        <v>95</v>
      </c>
      <c r="F4" t="s">
        <v>86</v>
      </c>
      <c r="G4">
        <v>15</v>
      </c>
      <c r="H4">
        <v>0</v>
      </c>
      <c r="I4" t="str">
        <f>OutputTable[[#This Row],[ProjectName]]&amp;OutputTable[[#This Row],[Name]]&amp;OutputTable[[#This Row],[Type]]&amp;OutputTable[[#This Row],[Source]]</f>
        <v>Unnamed ProjectOPERADOR_LIXADEIRA.NumberSeizedTotal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10</v>
      </c>
      <c r="K4" cm="1">
        <f t="array" ref="K4">IFERROR(AVERAGE(IF((OutputTable[GroupByKey]=OutputTable[[#This Row],[GroupByKey]]),(OutputTable[GroupByKey]=OutputTable[[#This Row],[GroupByKey]])*OutputTable[RecordedValue])),0)</f>
        <v>13.4</v>
      </c>
      <c r="L4" cm="1">
        <f t="array" ref="L4">IFERROR(_xlfn.STDEV.S(IF((OutputTable[GroupByKey]=OutputTable[[#This Row],[GroupByKey]]),(OutputTable[GroupByKey]=OutputTable[[#This Row],[GroupByKey]])*OutputTable[RecordedValue])),0)</f>
        <v>2.1186998109427626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1.5156265414366468</v>
      </c>
      <c r="O4" cm="1">
        <f t="array" ref="O4">MIN(IF((OutputTable[GroupByKey]=OutputTable[[#This Row],[GroupByKey]]),(OutputTable[GroupByKey]=OutputTable[[#This Row],[GroupByKey]])*OutputTable[RecordedValue]))</f>
        <v>11</v>
      </c>
      <c r="P4" cm="1">
        <f t="array" ref="P4">MAX(IF((OutputTable[GroupByKey]=OutputTable[[#This Row],[GroupByKey]]),(OutputTable[GroupByKey]=OutputTable[[#This Row],[GroupByKey]])*OutputTable[RecordedValue]))</f>
        <v>18</v>
      </c>
    </row>
    <row r="5" spans="1:16" x14ac:dyDescent="0.3">
      <c r="A5" t="s">
        <v>66</v>
      </c>
      <c r="B5" t="s">
        <v>68</v>
      </c>
      <c r="C5">
        <v>1</v>
      </c>
      <c r="D5" t="s">
        <v>99</v>
      </c>
      <c r="E5" t="s">
        <v>97</v>
      </c>
      <c r="F5" t="s">
        <v>86</v>
      </c>
      <c r="G5">
        <v>0.72290834012351401</v>
      </c>
      <c r="H5">
        <v>0</v>
      </c>
      <c r="I5" t="str">
        <f>OutputTable[[#This Row],[ProjectName]]&amp;OutputTable[[#This Row],[Name]]&amp;OutputTable[[#This Row],[Type]]&amp;OutputTable[[#This Row],[Source]]</f>
        <v>Unnamed ProjectOPERADOR_LIXADEIRA.ScheduledUtilizationScheduled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10</v>
      </c>
      <c r="K5" cm="1">
        <f t="array" ref="K5">IFERROR(AVERAGE(IF((OutputTable[GroupByKey]=OutputTable[[#This Row],[GroupByKey]]),(OutputTable[GroupByKey]=OutputTable[[#This Row],[GroupByKey]])*OutputTable[RecordedValue])),0)</f>
        <v>0.61388612230942741</v>
      </c>
      <c r="L5" cm="1">
        <f t="array" ref="L5">IFERROR(_xlfn.STDEV.S(IF((OutputTable[GroupByKey]=OutputTable[[#This Row],[GroupByKey]]),(OutputTable[GroupByKey]=OutputTable[[#This Row],[GroupByKey]])*OutputTable[RecordedValue])),0)</f>
        <v>0.11265505672935852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8.0588572823863613E-2</v>
      </c>
      <c r="O5" cm="1">
        <f t="array" ref="O5">MIN(IF((OutputTable[GroupByKey]=OutputTable[[#This Row],[GroupByKey]]),(OutputTable[GroupByKey]=OutputTable[[#This Row],[GroupByKey]])*OutputTable[RecordedValue]))</f>
        <v>0.48262851817987601</v>
      </c>
      <c r="P5" cm="1">
        <f t="array" ref="P5">MAX(IF((OutputTable[GroupByKey]=OutputTable[[#This Row],[GroupByKey]]),(OutputTable[GroupByKey]=OutputTable[[#This Row],[GroupByKey]])*OutputTable[RecordedValue]))</f>
        <v>0.85064625227951796</v>
      </c>
    </row>
    <row r="6" spans="1:16" x14ac:dyDescent="0.3">
      <c r="A6" t="s">
        <v>66</v>
      </c>
      <c r="B6" t="s">
        <v>68</v>
      </c>
      <c r="C6">
        <v>1</v>
      </c>
      <c r="D6" t="s">
        <v>100</v>
      </c>
      <c r="E6" t="s">
        <v>95</v>
      </c>
      <c r="F6" t="s">
        <v>86</v>
      </c>
      <c r="G6">
        <v>14</v>
      </c>
      <c r="H6">
        <v>0</v>
      </c>
      <c r="I6" t="str">
        <f>OutputTable[[#This Row],[ProjectName]]&amp;OutputTable[[#This Row],[Name]]&amp;OutputTable[[#This Row],[Type]]&amp;OutputTable[[#This Row],[Source]]</f>
        <v>Unnamed ProjectOPERADOR_TORNO.NumberSeizedTotal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10</v>
      </c>
      <c r="K6" cm="1">
        <f t="array" ref="K6">IFERROR(AVERAGE(IF((OutputTable[GroupByKey]=OutputTable[[#This Row],[GroupByKey]]),(OutputTable[GroupByKey]=OutputTable[[#This Row],[GroupByKey]])*OutputTable[RecordedValue])),0)</f>
        <v>15.6</v>
      </c>
      <c r="L6" cm="1">
        <f t="array" ref="L6">IFERROR(_xlfn.STDEV.S(IF((OutputTable[GroupByKey]=OutputTable[[#This Row],[GroupByKey]]),(OutputTable[GroupByKey]=OutputTable[[#This Row],[GroupByKey]])*OutputTable[RecordedValue])),0)</f>
        <v>2.716206504995117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1.9430570813906995</v>
      </c>
      <c r="O6" cm="1">
        <f t="array" ref="O6">MIN(IF((OutputTable[GroupByKey]=OutputTable[[#This Row],[GroupByKey]]),(OutputTable[GroupByKey]=OutputTable[[#This Row],[GroupByKey]])*OutputTable[RecordedValue]))</f>
        <v>10</v>
      </c>
      <c r="P6" cm="1">
        <f t="array" ref="P6">MAX(IF((OutputTable[GroupByKey]=OutputTable[[#This Row],[GroupByKey]]),(OutputTable[GroupByKey]=OutputTable[[#This Row],[GroupByKey]])*OutputTable[RecordedValue]))</f>
        <v>19</v>
      </c>
    </row>
    <row r="7" spans="1:16" x14ac:dyDescent="0.3">
      <c r="A7" t="s">
        <v>66</v>
      </c>
      <c r="B7" t="s">
        <v>68</v>
      </c>
      <c r="C7">
        <v>1</v>
      </c>
      <c r="D7" t="s">
        <v>101</v>
      </c>
      <c r="E7" t="s">
        <v>97</v>
      </c>
      <c r="F7" t="s">
        <v>86</v>
      </c>
      <c r="G7">
        <v>0.73992577614381105</v>
      </c>
      <c r="H7">
        <v>0</v>
      </c>
      <c r="I7" t="str">
        <f>OutputTable[[#This Row],[ProjectName]]&amp;OutputTable[[#This Row],[Name]]&amp;OutputTable[[#This Row],[Type]]&amp;OutputTable[[#This Row],[Source]]</f>
        <v>Unnamed ProjectOPERADOR_TORNO.ScheduledUtilizationScheduled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10</v>
      </c>
      <c r="K7" cm="1">
        <f t="array" ref="K7">IFERROR(AVERAGE(IF((OutputTable[GroupByKey]=OutputTable[[#This Row],[GroupByKey]]),(OutputTable[GroupByKey]=OutputTable[[#This Row],[GroupByKey]])*OutputTable[RecordedValue])),0)</f>
        <v>0.82376875514414072</v>
      </c>
      <c r="L7" cm="1">
        <f t="array" ref="L7">IFERROR(_xlfn.STDEV.S(IF((OutputTable[GroupByKey]=OutputTable[[#This Row],[GroupByKey]]),(OutputTable[GroupByKey]=OutputTable[[#This Row],[GroupByKey]])*OutputTable[RecordedValue])),0)</f>
        <v>0.13969928470385456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9.9934848072064403E-2</v>
      </c>
      <c r="O7" cm="1">
        <f t="array" ref="O7">MIN(IF((OutputTable[GroupByKey]=OutputTable[[#This Row],[GroupByKey]]),(OutputTable[GroupByKey]=OutputTable[[#This Row],[GroupByKey]])*OutputTable[RecordedValue]))</f>
        <v>0.51379543219592505</v>
      </c>
      <c r="P7" cm="1">
        <f t="array" ref="P7">MAX(IF((OutputTable[GroupByKey]=OutputTable[[#This Row],[GroupByKey]]),(OutputTable[GroupByKey]=OutputTable[[#This Row],[GroupByKey]])*OutputTable[RecordedValue]))</f>
        <v>0.98397972672724299</v>
      </c>
    </row>
    <row r="8" spans="1:16" x14ac:dyDescent="0.3">
      <c r="A8" t="s">
        <v>66</v>
      </c>
      <c r="B8" t="s">
        <v>68</v>
      </c>
      <c r="C8">
        <v>1</v>
      </c>
      <c r="D8" t="s">
        <v>102</v>
      </c>
      <c r="E8" t="s">
        <v>103</v>
      </c>
      <c r="F8" t="s">
        <v>71</v>
      </c>
      <c r="G8">
        <v>35</v>
      </c>
      <c r="H8">
        <v>0</v>
      </c>
      <c r="I8" t="str">
        <f>OutputTable[[#This Row],[ProjectName]]&amp;OutputTable[[#This Row],[Name]]&amp;OutputTable[[#This Row],[Type]]&amp;OutputTable[[#This Row],[Source]]</f>
        <v>Unnamed ProjectPECA.NumberInNumber InEntity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10</v>
      </c>
      <c r="K8" cm="1">
        <f t="array" ref="K8">IFERROR(AVERAGE(IF((OutputTable[GroupByKey]=OutputTable[[#This Row],[GroupByKey]]),(OutputTable[GroupByKey]=OutputTable[[#This Row],[GroupByKey]])*OutputTable[RecordedValue])),0)</f>
        <v>29.9</v>
      </c>
      <c r="L8" cm="1">
        <f t="array" ref="L8">IFERROR(_xlfn.STDEV.S(IF((OutputTable[GroupByKey]=OutputTable[[#This Row],[GroupByKey]]),(OutputTable[GroupByKey]=OutputTable[[#This Row],[GroupByKey]])*OutputTable[RecordedValue])),0)</f>
        <v>6.4195880795508264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8" cm="1">
        <f t="array" ref="O8">MIN(IF((OutputTable[GroupByKey]=OutputTable[[#This Row],[GroupByKey]]),(OutputTable[GroupByKey]=OutputTable[[#This Row],[GroupByKey]])*OutputTable[RecordedValue]))</f>
        <v>20</v>
      </c>
      <c r="P8" cm="1">
        <f t="array" ref="P8">MAX(IF((OutputTable[GroupByKey]=OutputTable[[#This Row],[GroupByKey]]),(OutputTable[GroupByKey]=OutputTable[[#This Row],[GroupByKey]])*OutputTable[RecordedValue]))</f>
        <v>41</v>
      </c>
    </row>
    <row r="9" spans="1:16" x14ac:dyDescent="0.3">
      <c r="A9" t="s">
        <v>66</v>
      </c>
      <c r="B9" t="s">
        <v>68</v>
      </c>
      <c r="C9">
        <v>1</v>
      </c>
      <c r="D9" t="s">
        <v>104</v>
      </c>
      <c r="E9" t="s">
        <v>105</v>
      </c>
      <c r="F9" t="s">
        <v>71</v>
      </c>
      <c r="G9">
        <v>35</v>
      </c>
      <c r="H9">
        <v>0</v>
      </c>
      <c r="I9" t="str">
        <f>OutputTable[[#This Row],[ProjectName]]&amp;OutputTable[[#This Row],[Name]]&amp;OutputTable[[#This Row],[Type]]&amp;OutputTable[[#This Row],[Source]]</f>
        <v>Unnamed ProjectPECA.NumberOutNumber OutEntity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10</v>
      </c>
      <c r="K9" cm="1">
        <f t="array" ref="K9">IFERROR(AVERAGE(IF((OutputTable[GroupByKey]=OutputTable[[#This Row],[GroupByKey]]),(OutputTable[GroupByKey]=OutputTable[[#This Row],[GroupByKey]])*OutputTable[RecordedValue])),0)</f>
        <v>29.9</v>
      </c>
      <c r="L9" cm="1">
        <f t="array" ref="L9">IFERROR(_xlfn.STDEV.S(IF((OutputTable[GroupByKey]=OutputTable[[#This Row],[GroupByKey]]),(OutputTable[GroupByKey]=OutputTable[[#This Row],[GroupByKey]])*OutputTable[RecordedValue])),0)</f>
        <v>6.4195880795508264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9" cm="1">
        <f t="array" ref="O9">MIN(IF((OutputTable[GroupByKey]=OutputTable[[#This Row],[GroupByKey]]),(OutputTable[GroupByKey]=OutputTable[[#This Row],[GroupByKey]])*OutputTable[RecordedValue]))</f>
        <v>20</v>
      </c>
      <c r="P9" cm="1">
        <f t="array" ref="P9">MAX(IF((OutputTable[GroupByKey]=OutputTable[[#This Row],[GroupByKey]]),(OutputTable[GroupByKey]=OutputTable[[#This Row],[GroupByKey]])*OutputTable[RecordedValue]))</f>
        <v>41</v>
      </c>
    </row>
    <row r="10" spans="1:16" x14ac:dyDescent="0.3">
      <c r="A10" t="s">
        <v>66</v>
      </c>
      <c r="B10" t="s">
        <v>68</v>
      </c>
      <c r="C10">
        <v>1</v>
      </c>
      <c r="D10" t="s">
        <v>106</v>
      </c>
      <c r="E10" t="s">
        <v>103</v>
      </c>
      <c r="F10" t="s">
        <v>71</v>
      </c>
      <c r="G10">
        <v>12</v>
      </c>
      <c r="H10">
        <v>0</v>
      </c>
      <c r="I10" t="str">
        <f>OutputTable[[#This Row],[ProjectName]]&amp;OutputTable[[#This Row],[Name]]&amp;OutputTable[[#This Row],[Type]]&amp;OutputTable[[#This Row],[Source]]</f>
        <v>Unnamed ProjectPICTURE_AZUL.NumberInNumber InEntity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10</v>
      </c>
      <c r="K10" cm="1">
        <f t="array" ref="K10">IFERROR(AVERAGE(IF((OutputTable[GroupByKey]=OutputTable[[#This Row],[GroupByKey]]),(OutputTable[GroupByKey]=OutputTable[[#This Row],[GroupByKey]])*OutputTable[RecordedValue])),0)</f>
        <v>13.3</v>
      </c>
      <c r="L10" cm="1">
        <f t="array" ref="L10">IFERROR(_xlfn.STDEV.S(IF((OutputTable[GroupByKey]=OutputTable[[#This Row],[GroupByKey]]),(OutputTable[GroupByKey]=OutputTable[[#This Row],[GroupByKey]])*OutputTable[RecordedValue])),0)</f>
        <v>4.2700507413066324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3.0546102866388556</v>
      </c>
      <c r="O10" cm="1">
        <f t="array" ref="O10">MIN(IF((OutputTable[GroupByKey]=OutputTable[[#This Row],[GroupByKey]]),(OutputTable[GroupByKey]=OutputTable[[#This Row],[GroupByKey]])*OutputTable[RecordedValue]))</f>
        <v>7</v>
      </c>
      <c r="P10" cm="1">
        <f t="array" ref="P10">MAX(IF((OutputTable[GroupByKey]=OutputTable[[#This Row],[GroupByKey]]),(OutputTable[GroupByKey]=OutputTable[[#This Row],[GroupByKey]])*OutputTable[RecordedValue]))</f>
        <v>20</v>
      </c>
    </row>
    <row r="11" spans="1:16" x14ac:dyDescent="0.3">
      <c r="A11" t="s">
        <v>66</v>
      </c>
      <c r="B11" t="s">
        <v>68</v>
      </c>
      <c r="C11">
        <v>1</v>
      </c>
      <c r="D11" t="s">
        <v>107</v>
      </c>
      <c r="E11" t="s">
        <v>105</v>
      </c>
      <c r="F11" t="s">
        <v>71</v>
      </c>
      <c r="G11">
        <v>9</v>
      </c>
      <c r="H11">
        <v>0</v>
      </c>
      <c r="I11" t="str">
        <f>OutputTable[[#This Row],[ProjectName]]&amp;OutputTable[[#This Row],[Name]]&amp;OutputTable[[#This Row],[Type]]&amp;OutputTable[[#This Row],[Source]]</f>
        <v>Unnamed ProjectPICTURE_AZUL.NumberOutNumber OutEntity</v>
      </c>
      <c r="J11" cm="1">
        <f t="array" ref="J11">MAX(IF((ProjectInfoTable[ProjectName]=OutputTable[[#This Row],[ProjectName]]),(ProjectInfoTable[ProjectName]=OutputTable[[#This Row],[ProjectName]])*ProjectInfoTable[NumberOfReplications]))</f>
        <v>10</v>
      </c>
      <c r="K11" cm="1">
        <f t="array" ref="K11">IFERROR(AVERAGE(IF((OutputTable[GroupByKey]=OutputTable[[#This Row],[GroupByKey]]),(OutputTable[GroupByKey]=OutputTable[[#This Row],[GroupByKey]])*OutputTable[RecordedValue])),0)</f>
        <v>10.6</v>
      </c>
      <c r="L11" cm="1">
        <f t="array" ref="L11">IFERROR(_xlfn.STDEV.S(IF((OutputTable[GroupByKey]=OutputTable[[#This Row],[GroupByKey]]),(OutputTable[GroupByKey]=OutputTable[[#This Row],[GroupByKey]])*OutputTable[RecordedValue])),0)</f>
        <v>2.2705848487901892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1.6242785521744192</v>
      </c>
      <c r="O11" cm="1">
        <f t="array" ref="O11">MIN(IF((OutputTable[GroupByKey]=OutputTable[[#This Row],[GroupByKey]]),(OutputTable[GroupByKey]=OutputTable[[#This Row],[GroupByKey]])*OutputTable[RecordedValue]))</f>
        <v>6</v>
      </c>
      <c r="P11" cm="1">
        <f t="array" ref="P11">MAX(IF((OutputTable[GroupByKey]=OutputTable[[#This Row],[GroupByKey]]),(OutputTable[GroupByKey]=OutputTable[[#This Row],[GroupByKey]])*OutputTable[RecordedValue]))</f>
        <v>13</v>
      </c>
    </row>
    <row r="12" spans="1:16" x14ac:dyDescent="0.3">
      <c r="A12" t="s">
        <v>66</v>
      </c>
      <c r="B12" t="s">
        <v>68</v>
      </c>
      <c r="C12">
        <v>1</v>
      </c>
      <c r="D12" t="s">
        <v>108</v>
      </c>
      <c r="E12" t="s">
        <v>103</v>
      </c>
      <c r="F12" t="s">
        <v>71</v>
      </c>
      <c r="G12">
        <v>16</v>
      </c>
      <c r="H12">
        <v>0</v>
      </c>
      <c r="I12" t="str">
        <f>OutputTable[[#This Row],[ProjectName]]&amp;OutputTable[[#This Row],[Name]]&amp;OutputTable[[#This Row],[Type]]&amp;OutputTable[[#This Row],[Source]]</f>
        <v>Unnamed ProjectPICTURE_VERDE.NumberInNumber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10</v>
      </c>
      <c r="K12" cm="1">
        <f t="array" ref="K12">IFERROR(AVERAGE(IF((OutputTable[GroupByKey]=OutputTable[[#This Row],[GroupByKey]]),(OutputTable[GroupByKey]=OutputTable[[#This Row],[GroupByKey]])*OutputTable[RecordedValue])),0)</f>
        <v>11.1</v>
      </c>
      <c r="L12" cm="1">
        <f t="array" ref="L12">IFERROR(_xlfn.STDEV.S(IF((OutputTable[GroupByKey]=OutputTable[[#This Row],[GroupByKey]]),(OutputTable[GroupByKey]=OutputTable[[#This Row],[GroupByKey]])*OutputTable[RecordedValue])),0)</f>
        <v>2.726414006223806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1.9503590878873462</v>
      </c>
      <c r="O12" cm="1">
        <f t="array" ref="O12">MIN(IF((OutputTable[GroupByKey]=OutputTable[[#This Row],[GroupByKey]]),(OutputTable[GroupByKey]=OutputTable[[#This Row],[GroupByKey]])*OutputTable[RecordedValue]))</f>
        <v>8</v>
      </c>
      <c r="P12" cm="1">
        <f t="array" ref="P12">MAX(IF((OutputTable[GroupByKey]=OutputTable[[#This Row],[GroupByKey]]),(OutputTable[GroupByKey]=OutputTable[[#This Row],[GroupByKey]])*OutputTable[RecordedValue]))</f>
        <v>16</v>
      </c>
    </row>
    <row r="13" spans="1:16" x14ac:dyDescent="0.3">
      <c r="A13" t="s">
        <v>66</v>
      </c>
      <c r="B13" t="s">
        <v>68</v>
      </c>
      <c r="C13">
        <v>1</v>
      </c>
      <c r="D13" t="s">
        <v>109</v>
      </c>
      <c r="E13" t="s">
        <v>105</v>
      </c>
      <c r="F13" t="s">
        <v>71</v>
      </c>
      <c r="G13">
        <v>11</v>
      </c>
      <c r="H13">
        <v>0</v>
      </c>
      <c r="I13" t="str">
        <f>OutputTable[[#This Row],[ProjectName]]&amp;OutputTable[[#This Row],[Name]]&amp;OutputTable[[#This Row],[Type]]&amp;OutputTable[[#This Row],[Source]]</f>
        <v>Unnamed ProjectPICTURE_VERDE.NumberOutNumber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10</v>
      </c>
      <c r="K13" cm="1">
        <f t="array" ref="K13">IFERROR(AVERAGE(IF((OutputTable[GroupByKey]=OutputTable[[#This Row],[GroupByKey]]),(OutputTable[GroupByKey]=OutputTable[[#This Row],[GroupByKey]])*OutputTable[RecordedValue])),0)</f>
        <v>8.9</v>
      </c>
      <c r="L13" cm="1">
        <f t="array" ref="L13">IFERROR(_xlfn.STDEV.S(IF((OutputTable[GroupByKey]=OutputTable[[#This Row],[GroupByKey]]),(OutputTable[GroupByKey]=OutputTable[[#This Row],[GroupByKey]])*OutputTable[RecordedValue])),0)</f>
        <v>2.4244128727957572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1.7343204914786237</v>
      </c>
      <c r="O13" cm="1">
        <f t="array" ref="O13">MIN(IF((OutputTable[GroupByKey]=OutputTable[[#This Row],[GroupByKey]]),(OutputTable[GroupByKey]=OutputTable[[#This Row],[GroupByKey]])*OutputTable[RecordedValue]))</f>
        <v>6</v>
      </c>
      <c r="P13" cm="1">
        <f t="array" ref="P13">MAX(IF((OutputTable[GroupByKey]=OutputTable[[#This Row],[GroupByKey]]),(OutputTable[GroupByKey]=OutputTable[[#This Row],[GroupByKey]])*OutputTable[RecordedValue]))</f>
        <v>14</v>
      </c>
    </row>
    <row r="14" spans="1:16" x14ac:dyDescent="0.3">
      <c r="A14" t="s">
        <v>66</v>
      </c>
      <c r="B14" t="s">
        <v>68</v>
      </c>
      <c r="C14">
        <v>1</v>
      </c>
      <c r="D14" t="s">
        <v>110</v>
      </c>
      <c r="E14" t="s">
        <v>103</v>
      </c>
      <c r="F14" t="s">
        <v>71</v>
      </c>
      <c r="G14">
        <v>7</v>
      </c>
      <c r="H14">
        <v>0</v>
      </c>
      <c r="I14" t="str">
        <f>OutputTable[[#This Row],[ProjectName]]&amp;OutputTable[[#This Row],[Name]]&amp;OutputTable[[#This Row],[Type]]&amp;OutputTable[[#This Row],[Source]]</f>
        <v>Unnamed ProjectPICTURE_VERMELHO.NumberInNumber InEntity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10</v>
      </c>
      <c r="K14" cm="1">
        <f t="array" ref="K14">IFERROR(AVERAGE(IF((OutputTable[GroupByKey]=OutputTable[[#This Row],[GroupByKey]]),(OutputTable[GroupByKey]=OutputTable[[#This Row],[GroupByKey]])*OutputTable[RecordedValue])),0)</f>
        <v>5.5</v>
      </c>
      <c r="L14" cm="1">
        <f t="array" ref="L14">IFERROR(_xlfn.STDEV.S(IF((OutputTable[GroupByKey]=OutputTable[[#This Row],[GroupByKey]]),(OutputTable[GroupByKey]=OutputTable[[#This Row],[GroupByKey]])*OutputTable[RecordedValue])),0)</f>
        <v>2.0138409955990952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1.4406150637286517</v>
      </c>
      <c r="O14" cm="1">
        <f t="array" ref="O14">MIN(IF((OutputTable[GroupByKey]=OutputTable[[#This Row],[GroupByKey]]),(OutputTable[GroupByKey]=OutputTable[[#This Row],[GroupByKey]])*OutputTable[RecordedValue]))</f>
        <v>3</v>
      </c>
      <c r="P14" cm="1">
        <f t="array" ref="P14">MAX(IF((OutputTable[GroupByKey]=OutputTable[[#This Row],[GroupByKey]]),(OutputTable[GroupByKey]=OutputTable[[#This Row],[GroupByKey]])*OutputTable[RecordedValue]))</f>
        <v>9</v>
      </c>
    </row>
    <row r="15" spans="1:16" x14ac:dyDescent="0.3">
      <c r="A15" t="s">
        <v>66</v>
      </c>
      <c r="B15" t="s">
        <v>68</v>
      </c>
      <c r="C15">
        <v>1</v>
      </c>
      <c r="D15" t="s">
        <v>111</v>
      </c>
      <c r="E15" t="s">
        <v>105</v>
      </c>
      <c r="F15" t="s">
        <v>71</v>
      </c>
      <c r="G15">
        <v>3</v>
      </c>
      <c r="H15">
        <v>0</v>
      </c>
      <c r="I15" t="str">
        <f>OutputTable[[#This Row],[ProjectName]]&amp;OutputTable[[#This Row],[Name]]&amp;OutputTable[[#This Row],[Type]]&amp;OutputTable[[#This Row],[Source]]</f>
        <v>Unnamed ProjectPICTURE_VERMELHO.NumberOutNumber OutEntity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10</v>
      </c>
      <c r="K15" cm="1">
        <f t="array" ref="K15">IFERROR(AVERAGE(IF((OutputTable[GroupByKey]=OutputTable[[#This Row],[GroupByKey]]),(OutputTable[GroupByKey]=OutputTable[[#This Row],[GroupByKey]])*OutputTable[RecordedValue])),0)</f>
        <v>3.6</v>
      </c>
      <c r="L15" cm="1">
        <f t="array" ref="L15">IFERROR(_xlfn.STDEV.S(IF((OutputTable[GroupByKey]=OutputTable[[#This Row],[GroupByKey]]),(OutputTable[GroupByKey]=OutputTable[[#This Row],[GroupByKey]])*OutputTable[RecordedValue])),0)</f>
        <v>0.84327404271156814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0.60324191007952155</v>
      </c>
      <c r="O15" cm="1">
        <f t="array" ref="O15">MIN(IF((OutputTable[GroupByKey]=OutputTable[[#This Row],[GroupByKey]]),(OutputTable[GroupByKey]=OutputTable[[#This Row],[GroupByKey]])*OutputTable[RecordedValue]))</f>
        <v>3</v>
      </c>
      <c r="P15" cm="1">
        <f t="array" ref="P15">MAX(IF((OutputTable[GroupByKey]=OutputTable[[#This Row],[GroupByKey]]),(OutputTable[GroupByKey]=OutputTable[[#This Row],[GroupByKey]])*OutputTable[RecordedValue]))</f>
        <v>5</v>
      </c>
    </row>
    <row r="16" spans="1:16" x14ac:dyDescent="0.3">
      <c r="A16" t="s">
        <v>66</v>
      </c>
      <c r="B16" t="s">
        <v>68</v>
      </c>
      <c r="C16">
        <v>1</v>
      </c>
      <c r="D16" t="s">
        <v>112</v>
      </c>
      <c r="E16" t="s">
        <v>105</v>
      </c>
      <c r="F16" t="s">
        <v>113</v>
      </c>
      <c r="G16">
        <v>23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10</v>
      </c>
      <c r="K16" cm="1">
        <f t="array" ref="K16">IFERROR(AVERAGE(IF((OutputTable[GroupByKey]=OutputTable[[#This Row],[GroupByKey]]),(OutputTable[GroupByKey]=OutputTable[[#This Row],[GroupByKey]])*OutputTable[RecordedValue])),0)</f>
        <v>23.1</v>
      </c>
      <c r="L16" cm="1">
        <f t="array" ref="L16">IFERROR(_xlfn.STDEV.S(IF((OutputTable[GroupByKey]=OutputTable[[#This Row],[GroupByKey]]),(OutputTable[GroupByKey]=OutputTable[[#This Row],[GroupByKey]])*OutputTable[RecordedValue])),0)</f>
        <v>3.4785054261852113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2.4883728790780211</v>
      </c>
      <c r="O16" cm="1">
        <f t="array" ref="O16">MIN(IF((OutputTable[GroupByKey]=OutputTable[[#This Row],[GroupByKey]]),(OutputTable[GroupByKey]=OutputTable[[#This Row],[GroupByKey]])*OutputTable[RecordedValue]))</f>
        <v>17</v>
      </c>
      <c r="P16" cm="1">
        <f t="array" ref="P16">MAX(IF((OutputTable[GroupByKey]=OutputTable[[#This Row],[GroupByKey]]),(OutputTable[GroupByKey]=OutputTable[[#This Row],[GroupByKey]])*OutputTable[RecordedValue]))</f>
        <v>28</v>
      </c>
    </row>
    <row r="17" spans="1:16" x14ac:dyDescent="0.3">
      <c r="A17" t="s">
        <v>66</v>
      </c>
      <c r="B17" t="s">
        <v>68</v>
      </c>
      <c r="C17">
        <v>2</v>
      </c>
      <c r="D17" t="s">
        <v>94</v>
      </c>
      <c r="E17" t="s">
        <v>95</v>
      </c>
      <c r="F17" t="s">
        <v>86</v>
      </c>
      <c r="G17">
        <v>13</v>
      </c>
      <c r="H17">
        <v>0</v>
      </c>
      <c r="I17" t="str">
        <f>OutputTable[[#This Row],[ProjectName]]&amp;OutputTable[[#This Row],[Name]]&amp;OutputTable[[#This Row],[Type]]&amp;OutputTable[[#This Row],[Source]]</f>
        <v>Unnamed ProjectOPERADOR_CORTE.NumberSeizedTotal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10</v>
      </c>
      <c r="K17" cm="1">
        <f t="array" ref="K17">IFERROR(AVERAGE(IF((OutputTable[GroupByKey]=OutputTable[[#This Row],[GroupByKey]]),(OutputTable[GroupByKey]=OutputTable[[#This Row],[GroupByKey]])*OutputTable[RecordedValue])),0)</f>
        <v>15.9</v>
      </c>
      <c r="L17" cm="1">
        <f t="array" ref="L17">IFERROR(_xlfn.STDEV.S(IF((OutputTable[GroupByKey]=OutputTable[[#This Row],[GroupByKey]]),(OutputTable[GroupByKey]=OutputTable[[#This Row],[GroupByKey]])*OutputTable[RecordedValue])),0)</f>
        <v>3.247221034122016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2.3229219919723874</v>
      </c>
      <c r="O17" cm="1">
        <f t="array" ref="O17">MIN(IF((OutputTable[GroupByKey]=OutputTable[[#This Row],[GroupByKey]]),(OutputTable[GroupByKey]=OutputTable[[#This Row],[GroupByKey]])*OutputTable[RecordedValue]))</f>
        <v>12</v>
      </c>
      <c r="P17" cm="1">
        <f t="array" ref="P17">MAX(IF((OutputTable[GroupByKey]=OutputTable[[#This Row],[GroupByKey]]),(OutputTable[GroupByKey]=OutputTable[[#This Row],[GroupByKey]])*OutputTable[RecordedValue]))</f>
        <v>21</v>
      </c>
    </row>
    <row r="18" spans="1:16" x14ac:dyDescent="0.3">
      <c r="A18" t="s">
        <v>66</v>
      </c>
      <c r="B18" t="s">
        <v>68</v>
      </c>
      <c r="C18">
        <v>2</v>
      </c>
      <c r="D18" t="s">
        <v>96</v>
      </c>
      <c r="E18" t="s">
        <v>97</v>
      </c>
      <c r="F18" t="s">
        <v>86</v>
      </c>
      <c r="G18">
        <v>0.58475861044950805</v>
      </c>
      <c r="H18">
        <v>0</v>
      </c>
      <c r="I18" t="str">
        <f>OutputTable[[#This Row],[ProjectName]]&amp;OutputTable[[#This Row],[Name]]&amp;OutputTable[[#This Row],[Type]]&amp;OutputTable[[#This Row],[Source]]</f>
        <v>Unnamed ProjectOPERADOR_CORTE.ScheduledUtilizationScheduled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10</v>
      </c>
      <c r="K18" cm="1">
        <f t="array" ref="K18">IFERROR(AVERAGE(IF((OutputTable[GroupByKey]=OutputTable[[#This Row],[GroupByKey]]),(OutputTable[GroupByKey]=OutputTable[[#This Row],[GroupByKey]])*OutputTable[RecordedValue])),0)</f>
        <v>0.66328097868598235</v>
      </c>
      <c r="L18" cm="1">
        <f t="array" ref="L18">IFERROR(_xlfn.STDEV.S(IF((OutputTable[GroupByKey]=OutputTable[[#This Row],[GroupByKey]]),(OutputTable[GroupByKey]=OutputTable[[#This Row],[GroupByKey]])*OutputTable[RecordedValue])),0)</f>
        <v>0.13309360211006072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9.5209427409943759E-2</v>
      </c>
      <c r="O18" cm="1">
        <f t="array" ref="O18">MIN(IF((OutputTable[GroupByKey]=OutputTable[[#This Row],[GroupByKey]]),(OutputTable[GroupByKey]=OutputTable[[#This Row],[GroupByKey]])*OutputTable[RecordedValue]))</f>
        <v>0.50548165778050103</v>
      </c>
      <c r="P18" cm="1">
        <f t="array" ref="P18">MAX(IF((OutputTable[GroupByKey]=OutputTable[[#This Row],[GroupByKey]]),(OutputTable[GroupByKey]=OutputTable[[#This Row],[GroupByKey]])*OutputTable[RecordedValue]))</f>
        <v>0.90373198712706704</v>
      </c>
    </row>
    <row r="19" spans="1:16" x14ac:dyDescent="0.3">
      <c r="A19" t="s">
        <v>66</v>
      </c>
      <c r="B19" t="s">
        <v>68</v>
      </c>
      <c r="C19">
        <v>2</v>
      </c>
      <c r="D19" t="s">
        <v>98</v>
      </c>
      <c r="E19" t="s">
        <v>95</v>
      </c>
      <c r="F19" t="s">
        <v>86</v>
      </c>
      <c r="G19">
        <v>13</v>
      </c>
      <c r="H19">
        <v>0</v>
      </c>
      <c r="I19" t="str">
        <f>OutputTable[[#This Row],[ProjectName]]&amp;OutputTable[[#This Row],[Name]]&amp;OutputTable[[#This Row],[Type]]&amp;OutputTable[[#This Row],[Source]]</f>
        <v>Unnamed ProjectOPERADOR_LIXADEIRA.NumberSeizedTotal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10</v>
      </c>
      <c r="K19" cm="1">
        <f t="array" ref="K19">IFERROR(AVERAGE(IF((OutputTable[GroupByKey]=OutputTable[[#This Row],[GroupByKey]]),(OutputTable[GroupByKey]=OutputTable[[#This Row],[GroupByKey]])*OutputTable[RecordedValue])),0)</f>
        <v>13.4</v>
      </c>
      <c r="L19" cm="1">
        <f t="array" ref="L19">IFERROR(_xlfn.STDEV.S(IF((OutputTable[GroupByKey]=OutputTable[[#This Row],[GroupByKey]]),(OutputTable[GroupByKey]=OutputTable[[#This Row],[GroupByKey]])*OutputTable[RecordedValue])),0)</f>
        <v>2.1186998109427626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1.5156265414366468</v>
      </c>
      <c r="O19" cm="1">
        <f t="array" ref="O19">MIN(IF((OutputTable[GroupByKey]=OutputTable[[#This Row],[GroupByKey]]),(OutputTable[GroupByKey]=OutputTable[[#This Row],[GroupByKey]])*OutputTable[RecordedValue]))</f>
        <v>11</v>
      </c>
      <c r="P19" cm="1">
        <f t="array" ref="P19">MAX(IF((OutputTable[GroupByKey]=OutputTable[[#This Row],[GroupByKey]]),(OutputTable[GroupByKey]=OutputTable[[#This Row],[GroupByKey]])*OutputTable[RecordedValue]))</f>
        <v>18</v>
      </c>
    </row>
    <row r="20" spans="1:16" x14ac:dyDescent="0.3">
      <c r="A20" t="s">
        <v>66</v>
      </c>
      <c r="B20" t="s">
        <v>68</v>
      </c>
      <c r="C20">
        <v>2</v>
      </c>
      <c r="D20" t="s">
        <v>99</v>
      </c>
      <c r="E20" t="s">
        <v>97</v>
      </c>
      <c r="F20" t="s">
        <v>86</v>
      </c>
      <c r="G20">
        <v>0.54490714253019401</v>
      </c>
      <c r="H20">
        <v>0</v>
      </c>
      <c r="I20" t="str">
        <f>OutputTable[[#This Row],[ProjectName]]&amp;OutputTable[[#This Row],[Name]]&amp;OutputTable[[#This Row],[Type]]&amp;OutputTable[[#This Row],[Source]]</f>
        <v>Unnamed ProjectOPERADOR_LIXADEIRA.ScheduledUtilizationScheduled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10</v>
      </c>
      <c r="K20" cm="1">
        <f t="array" ref="K20">IFERROR(AVERAGE(IF((OutputTable[GroupByKey]=OutputTable[[#This Row],[GroupByKey]]),(OutputTable[GroupByKey]=OutputTable[[#This Row],[GroupByKey]])*OutputTable[RecordedValue])),0)</f>
        <v>0.61388612230942741</v>
      </c>
      <c r="L20" cm="1">
        <f t="array" ref="L20">IFERROR(_xlfn.STDEV.S(IF((OutputTable[GroupByKey]=OutputTable[[#This Row],[GroupByKey]]),(OutputTable[GroupByKey]=OutputTable[[#This Row],[GroupByKey]])*OutputTable[RecordedValue])),0)</f>
        <v>0.11265505672935852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8.0588572823863613E-2</v>
      </c>
      <c r="O20" cm="1">
        <f t="array" ref="O20">MIN(IF((OutputTable[GroupByKey]=OutputTable[[#This Row],[GroupByKey]]),(OutputTable[GroupByKey]=OutputTable[[#This Row],[GroupByKey]])*OutputTable[RecordedValue]))</f>
        <v>0.48262851817987601</v>
      </c>
      <c r="P20" cm="1">
        <f t="array" ref="P20">MAX(IF((OutputTable[GroupByKey]=OutputTable[[#This Row],[GroupByKey]]),(OutputTable[GroupByKey]=OutputTable[[#This Row],[GroupByKey]])*OutputTable[RecordedValue]))</f>
        <v>0.85064625227951796</v>
      </c>
    </row>
    <row r="21" spans="1:16" x14ac:dyDescent="0.3">
      <c r="A21" t="s">
        <v>66</v>
      </c>
      <c r="B21" t="s">
        <v>68</v>
      </c>
      <c r="C21">
        <v>2</v>
      </c>
      <c r="D21" t="s">
        <v>100</v>
      </c>
      <c r="E21" t="s">
        <v>95</v>
      </c>
      <c r="F21" t="s">
        <v>86</v>
      </c>
      <c r="G21">
        <v>17</v>
      </c>
      <c r="H21">
        <v>0</v>
      </c>
      <c r="I21" t="str">
        <f>OutputTable[[#This Row],[ProjectName]]&amp;OutputTable[[#This Row],[Name]]&amp;OutputTable[[#This Row],[Type]]&amp;OutputTable[[#This Row],[Source]]</f>
        <v>Unnamed ProjectOPERADOR_TORNO.NumberSeizedTotal Number SeizedResource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10</v>
      </c>
      <c r="K21" cm="1">
        <f t="array" ref="K21">IFERROR(AVERAGE(IF((OutputTable[GroupByKey]=OutputTable[[#This Row],[GroupByKey]]),(OutputTable[GroupByKey]=OutputTable[[#This Row],[GroupByKey]])*OutputTable[RecordedValue])),0)</f>
        <v>15.6</v>
      </c>
      <c r="L21" cm="1">
        <f t="array" ref="L21">IFERROR(_xlfn.STDEV.S(IF((OutputTable[GroupByKey]=OutputTable[[#This Row],[GroupByKey]]),(OutputTable[GroupByKey]=OutputTable[[#This Row],[GroupByKey]])*OutputTable[RecordedValue])),0)</f>
        <v>2.716206504995117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1.9430570813906995</v>
      </c>
      <c r="O21" cm="1">
        <f t="array" ref="O21">MIN(IF((OutputTable[GroupByKey]=OutputTable[[#This Row],[GroupByKey]]),(OutputTable[GroupByKey]=OutputTable[[#This Row],[GroupByKey]])*OutputTable[RecordedValue]))</f>
        <v>10</v>
      </c>
      <c r="P21" cm="1">
        <f t="array" ref="P21">MAX(IF((OutputTable[GroupByKey]=OutputTable[[#This Row],[GroupByKey]]),(OutputTable[GroupByKey]=OutputTable[[#This Row],[GroupByKey]])*OutputTable[RecordedValue]))</f>
        <v>19</v>
      </c>
    </row>
    <row r="22" spans="1:16" x14ac:dyDescent="0.3">
      <c r="A22" t="s">
        <v>66</v>
      </c>
      <c r="B22" t="s">
        <v>68</v>
      </c>
      <c r="C22">
        <v>2</v>
      </c>
      <c r="D22" t="s">
        <v>101</v>
      </c>
      <c r="E22" t="s">
        <v>97</v>
      </c>
      <c r="F22" t="s">
        <v>86</v>
      </c>
      <c r="G22">
        <v>0.92083324630187702</v>
      </c>
      <c r="H22">
        <v>0</v>
      </c>
      <c r="I22" t="str">
        <f>OutputTable[[#This Row],[ProjectName]]&amp;OutputTable[[#This Row],[Name]]&amp;OutputTable[[#This Row],[Type]]&amp;OutputTable[[#This Row],[Source]]</f>
        <v>Unnamed ProjectOPERADOR_TORNO.ScheduledUtilizationScheduled UtilizationResource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10</v>
      </c>
      <c r="K22" cm="1">
        <f t="array" ref="K22">IFERROR(AVERAGE(IF((OutputTable[GroupByKey]=OutputTable[[#This Row],[GroupByKey]]),(OutputTable[GroupByKey]=OutputTable[[#This Row],[GroupByKey]])*OutputTable[RecordedValue])),0)</f>
        <v>0.82376875514414072</v>
      </c>
      <c r="L22" cm="1">
        <f t="array" ref="L22">IFERROR(_xlfn.STDEV.S(IF((OutputTable[GroupByKey]=OutputTable[[#This Row],[GroupByKey]]),(OutputTable[GroupByKey]=OutputTable[[#This Row],[GroupByKey]])*OutputTable[RecordedValue])),0)</f>
        <v>0.13969928470385456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9.9934848072064403E-2</v>
      </c>
      <c r="O22" cm="1">
        <f t="array" ref="O22">MIN(IF((OutputTable[GroupByKey]=OutputTable[[#This Row],[GroupByKey]]),(OutputTable[GroupByKey]=OutputTable[[#This Row],[GroupByKey]])*OutputTable[RecordedValue]))</f>
        <v>0.51379543219592505</v>
      </c>
      <c r="P22" cm="1">
        <f t="array" ref="P22">MAX(IF((OutputTable[GroupByKey]=OutputTable[[#This Row],[GroupByKey]]),(OutputTable[GroupByKey]=OutputTable[[#This Row],[GroupByKey]])*OutputTable[RecordedValue]))</f>
        <v>0.98397972672724299</v>
      </c>
    </row>
    <row r="23" spans="1:16" x14ac:dyDescent="0.3">
      <c r="A23" t="s">
        <v>66</v>
      </c>
      <c r="B23" t="s">
        <v>68</v>
      </c>
      <c r="C23">
        <v>2</v>
      </c>
      <c r="D23" t="s">
        <v>102</v>
      </c>
      <c r="E23" t="s">
        <v>103</v>
      </c>
      <c r="F23" t="s">
        <v>71</v>
      </c>
      <c r="G23">
        <v>25</v>
      </c>
      <c r="H23">
        <v>0</v>
      </c>
      <c r="I23" t="str">
        <f>OutputTable[[#This Row],[ProjectName]]&amp;OutputTable[[#This Row],[Name]]&amp;OutputTable[[#This Row],[Type]]&amp;OutputTable[[#This Row],[Source]]</f>
        <v>Unnamed ProjectPECA.NumberInNumber InEntity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10</v>
      </c>
      <c r="K23" cm="1">
        <f t="array" ref="K23">IFERROR(AVERAGE(IF((OutputTable[GroupByKey]=OutputTable[[#This Row],[GroupByKey]]),(OutputTable[GroupByKey]=OutputTable[[#This Row],[GroupByKey]])*OutputTable[RecordedValue])),0)</f>
        <v>29.9</v>
      </c>
      <c r="L23" cm="1">
        <f t="array" ref="L23">IFERROR(_xlfn.STDEV.S(IF((OutputTable[GroupByKey]=OutputTable[[#This Row],[GroupByKey]]),(OutputTable[GroupByKey]=OutputTable[[#This Row],[GroupByKey]])*OutputTable[RecordedValue])),0)</f>
        <v>6.4195880795508264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23" cm="1">
        <f t="array" ref="O23">MIN(IF((OutputTable[GroupByKey]=OutputTable[[#This Row],[GroupByKey]]),(OutputTable[GroupByKey]=OutputTable[[#This Row],[GroupByKey]])*OutputTable[RecordedValue]))</f>
        <v>20</v>
      </c>
      <c r="P23" cm="1">
        <f t="array" ref="P23">MAX(IF((OutputTable[GroupByKey]=OutputTable[[#This Row],[GroupByKey]]),(OutputTable[GroupByKey]=OutputTable[[#This Row],[GroupByKey]])*OutputTable[RecordedValue]))</f>
        <v>41</v>
      </c>
    </row>
    <row r="24" spans="1:16" x14ac:dyDescent="0.3">
      <c r="A24" t="s">
        <v>66</v>
      </c>
      <c r="B24" t="s">
        <v>68</v>
      </c>
      <c r="C24">
        <v>2</v>
      </c>
      <c r="D24" t="s">
        <v>104</v>
      </c>
      <c r="E24" t="s">
        <v>105</v>
      </c>
      <c r="F24" t="s">
        <v>71</v>
      </c>
      <c r="G24">
        <v>25</v>
      </c>
      <c r="H24">
        <v>0</v>
      </c>
      <c r="I24" t="str">
        <f>OutputTable[[#This Row],[ProjectName]]&amp;OutputTable[[#This Row],[Name]]&amp;OutputTable[[#This Row],[Type]]&amp;OutputTable[[#This Row],[Source]]</f>
        <v>Unnamed ProjectPECA.NumberOutNumber OutEntity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10</v>
      </c>
      <c r="K24" cm="1">
        <f t="array" ref="K24">IFERROR(AVERAGE(IF((OutputTable[GroupByKey]=OutputTable[[#This Row],[GroupByKey]]),(OutputTable[GroupByKey]=OutputTable[[#This Row],[GroupByKey]])*OutputTable[RecordedValue])),0)</f>
        <v>29.9</v>
      </c>
      <c r="L24" cm="1">
        <f t="array" ref="L24">IFERROR(_xlfn.STDEV.S(IF((OutputTable[GroupByKey]=OutputTable[[#This Row],[GroupByKey]]),(OutputTable[GroupByKey]=OutputTable[[#This Row],[GroupByKey]])*OutputTable[RecordedValue])),0)</f>
        <v>6.4195880795508264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24" cm="1">
        <f t="array" ref="O24">MIN(IF((OutputTable[GroupByKey]=OutputTable[[#This Row],[GroupByKey]]),(OutputTable[GroupByKey]=OutputTable[[#This Row],[GroupByKey]])*OutputTable[RecordedValue]))</f>
        <v>20</v>
      </c>
      <c r="P24" cm="1">
        <f t="array" ref="P24">MAX(IF((OutputTable[GroupByKey]=OutputTable[[#This Row],[GroupByKey]]),(OutputTable[GroupByKey]=OutputTable[[#This Row],[GroupByKey]])*OutputTable[RecordedValue]))</f>
        <v>41</v>
      </c>
    </row>
    <row r="25" spans="1:16" x14ac:dyDescent="0.3">
      <c r="A25" t="s">
        <v>66</v>
      </c>
      <c r="B25" t="s">
        <v>68</v>
      </c>
      <c r="C25">
        <v>2</v>
      </c>
      <c r="D25" t="s">
        <v>106</v>
      </c>
      <c r="E25" t="s">
        <v>103</v>
      </c>
      <c r="F25" t="s">
        <v>71</v>
      </c>
      <c r="G25">
        <v>12</v>
      </c>
      <c r="H25">
        <v>0</v>
      </c>
      <c r="I25" t="str">
        <f>OutputTable[[#This Row],[ProjectName]]&amp;OutputTable[[#This Row],[Name]]&amp;OutputTable[[#This Row],[Type]]&amp;OutputTable[[#This Row],[Source]]</f>
        <v>Unnamed ProjectPICTURE_AZUL.NumberInNumber InEntity</v>
      </c>
      <c r="J25" cm="1">
        <f t="array" ref="J25">MAX(IF((ProjectInfoTable[ProjectName]=OutputTable[[#This Row],[ProjectName]]),(ProjectInfoTable[ProjectName]=OutputTable[[#This Row],[ProjectName]])*ProjectInfoTable[NumberOfReplications]))</f>
        <v>10</v>
      </c>
      <c r="K25" cm="1">
        <f t="array" ref="K25">IFERROR(AVERAGE(IF((OutputTable[GroupByKey]=OutputTable[[#This Row],[GroupByKey]]),(OutputTable[GroupByKey]=OutputTable[[#This Row],[GroupByKey]])*OutputTable[RecordedValue])),0)</f>
        <v>13.3</v>
      </c>
      <c r="L25" cm="1">
        <f t="array" ref="L25">IFERROR(_xlfn.STDEV.S(IF((OutputTable[GroupByKey]=OutputTable[[#This Row],[GroupByKey]]),(OutputTable[GroupByKey]=OutputTable[[#This Row],[GroupByKey]])*OutputTable[RecordedValue])),0)</f>
        <v>4.2700507413066324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3.0546102866388556</v>
      </c>
      <c r="O25" cm="1">
        <f t="array" ref="O25">MIN(IF((OutputTable[GroupByKey]=OutputTable[[#This Row],[GroupByKey]]),(OutputTable[GroupByKey]=OutputTable[[#This Row],[GroupByKey]])*OutputTable[RecordedValue]))</f>
        <v>7</v>
      </c>
      <c r="P25" cm="1">
        <f t="array" ref="P25">MAX(IF((OutputTable[GroupByKey]=OutputTable[[#This Row],[GroupByKey]]),(OutputTable[GroupByKey]=OutputTable[[#This Row],[GroupByKey]])*OutputTable[RecordedValue]))</f>
        <v>20</v>
      </c>
    </row>
    <row r="26" spans="1:16" x14ac:dyDescent="0.3">
      <c r="A26" t="s">
        <v>66</v>
      </c>
      <c r="B26" t="s">
        <v>68</v>
      </c>
      <c r="C26">
        <v>2</v>
      </c>
      <c r="D26" t="s">
        <v>107</v>
      </c>
      <c r="E26" t="s">
        <v>105</v>
      </c>
      <c r="F26" t="s">
        <v>71</v>
      </c>
      <c r="G26">
        <v>11</v>
      </c>
      <c r="H26">
        <v>0</v>
      </c>
      <c r="I26" t="str">
        <f>OutputTable[[#This Row],[ProjectName]]&amp;OutputTable[[#This Row],[Name]]&amp;OutputTable[[#This Row],[Type]]&amp;OutputTable[[#This Row],[Source]]</f>
        <v>Unnamed ProjectPICTURE_AZUL.NumberOutNumber OutEntity</v>
      </c>
      <c r="J26" cm="1">
        <f t="array" ref="J26">MAX(IF((ProjectInfoTable[ProjectName]=OutputTable[[#This Row],[ProjectName]]),(ProjectInfoTable[ProjectName]=OutputTable[[#This Row],[ProjectName]])*ProjectInfoTable[NumberOfReplications]))</f>
        <v>10</v>
      </c>
      <c r="K26" cm="1">
        <f t="array" ref="K26">IFERROR(AVERAGE(IF((OutputTable[GroupByKey]=OutputTable[[#This Row],[GroupByKey]]),(OutputTable[GroupByKey]=OutputTable[[#This Row],[GroupByKey]])*OutputTable[RecordedValue])),0)</f>
        <v>10.6</v>
      </c>
      <c r="L26" cm="1">
        <f t="array" ref="L26">IFERROR(_xlfn.STDEV.S(IF((OutputTable[GroupByKey]=OutputTable[[#This Row],[GroupByKey]]),(OutputTable[GroupByKey]=OutputTable[[#This Row],[GroupByKey]])*OutputTable[RecordedValue])),0)</f>
        <v>2.2705848487901892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1.6242785521744192</v>
      </c>
      <c r="O26" cm="1">
        <f t="array" ref="O26">MIN(IF((OutputTable[GroupByKey]=OutputTable[[#This Row],[GroupByKey]]),(OutputTable[GroupByKey]=OutputTable[[#This Row],[GroupByKey]])*OutputTable[RecordedValue]))</f>
        <v>6</v>
      </c>
      <c r="P26" cm="1">
        <f t="array" ref="P26">MAX(IF((OutputTable[GroupByKey]=OutputTable[[#This Row],[GroupByKey]]),(OutputTable[GroupByKey]=OutputTable[[#This Row],[GroupByKey]])*OutputTable[RecordedValue]))</f>
        <v>13</v>
      </c>
    </row>
    <row r="27" spans="1:16" x14ac:dyDescent="0.3">
      <c r="A27" t="s">
        <v>66</v>
      </c>
      <c r="B27" t="s">
        <v>68</v>
      </c>
      <c r="C27">
        <v>2</v>
      </c>
      <c r="D27" t="s">
        <v>108</v>
      </c>
      <c r="E27" t="s">
        <v>103</v>
      </c>
      <c r="F27" t="s">
        <v>71</v>
      </c>
      <c r="G27">
        <v>8</v>
      </c>
      <c r="H27">
        <v>0</v>
      </c>
      <c r="I27" t="str">
        <f>OutputTable[[#This Row],[ProjectName]]&amp;OutputTable[[#This Row],[Name]]&amp;OutputTable[[#This Row],[Type]]&amp;OutputTable[[#This Row],[Source]]</f>
        <v>Unnamed ProjectPICTURE_VERDE.NumberInNumber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10</v>
      </c>
      <c r="K27" cm="1">
        <f t="array" ref="K27">IFERROR(AVERAGE(IF((OutputTable[GroupByKey]=OutputTable[[#This Row],[GroupByKey]]),(OutputTable[GroupByKey]=OutputTable[[#This Row],[GroupByKey]])*OutputTable[RecordedValue])),0)</f>
        <v>11.1</v>
      </c>
      <c r="L27" cm="1">
        <f t="array" ref="L27">IFERROR(_xlfn.STDEV.S(IF((OutputTable[GroupByKey]=OutputTable[[#This Row],[GroupByKey]]),(OutputTable[GroupByKey]=OutputTable[[#This Row],[GroupByKey]])*OutputTable[RecordedValue])),0)</f>
        <v>2.726414006223806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1.9503590878873462</v>
      </c>
      <c r="O27" cm="1">
        <f t="array" ref="O27">MIN(IF((OutputTable[GroupByKey]=OutputTable[[#This Row],[GroupByKey]]),(OutputTable[GroupByKey]=OutputTable[[#This Row],[GroupByKey]])*OutputTable[RecordedValue]))</f>
        <v>8</v>
      </c>
      <c r="P27" cm="1">
        <f t="array" ref="P27">MAX(IF((OutputTable[GroupByKey]=OutputTable[[#This Row],[GroupByKey]]),(OutputTable[GroupByKey]=OutputTable[[#This Row],[GroupByKey]])*OutputTable[RecordedValue]))</f>
        <v>16</v>
      </c>
    </row>
    <row r="28" spans="1:16" x14ac:dyDescent="0.3">
      <c r="A28" t="s">
        <v>66</v>
      </c>
      <c r="B28" t="s">
        <v>68</v>
      </c>
      <c r="C28">
        <v>2</v>
      </c>
      <c r="D28" t="s">
        <v>109</v>
      </c>
      <c r="E28" t="s">
        <v>105</v>
      </c>
      <c r="F28" t="s">
        <v>71</v>
      </c>
      <c r="G28">
        <v>7</v>
      </c>
      <c r="H28">
        <v>0</v>
      </c>
      <c r="I28" t="str">
        <f>OutputTable[[#This Row],[ProjectName]]&amp;OutputTable[[#This Row],[Name]]&amp;OutputTable[[#This Row],[Type]]&amp;OutputTable[[#This Row],[Source]]</f>
        <v>Unnamed ProjectPICTURE_VERDE.NumberOutNumber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10</v>
      </c>
      <c r="K28" cm="1">
        <f t="array" ref="K28">IFERROR(AVERAGE(IF((OutputTable[GroupByKey]=OutputTable[[#This Row],[GroupByKey]]),(OutputTable[GroupByKey]=OutputTable[[#This Row],[GroupByKey]])*OutputTable[RecordedValue])),0)</f>
        <v>8.9</v>
      </c>
      <c r="L28" cm="1">
        <f t="array" ref="L28">IFERROR(_xlfn.STDEV.S(IF((OutputTable[GroupByKey]=OutputTable[[#This Row],[GroupByKey]]),(OutputTable[GroupByKey]=OutputTable[[#This Row],[GroupByKey]])*OutputTable[RecordedValue])),0)</f>
        <v>2.4244128727957572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1.7343204914786237</v>
      </c>
      <c r="O28" cm="1">
        <f t="array" ref="O28">MIN(IF((OutputTable[GroupByKey]=OutputTable[[#This Row],[GroupByKey]]),(OutputTable[GroupByKey]=OutputTable[[#This Row],[GroupByKey]])*OutputTable[RecordedValue]))</f>
        <v>6</v>
      </c>
      <c r="P28" cm="1">
        <f t="array" ref="P28">MAX(IF((OutputTable[GroupByKey]=OutputTable[[#This Row],[GroupByKey]]),(OutputTable[GroupByKey]=OutputTable[[#This Row],[GroupByKey]])*OutputTable[RecordedValue]))</f>
        <v>14</v>
      </c>
    </row>
    <row r="29" spans="1:16" x14ac:dyDescent="0.3">
      <c r="A29" t="s">
        <v>66</v>
      </c>
      <c r="B29" t="s">
        <v>68</v>
      </c>
      <c r="C29">
        <v>2</v>
      </c>
      <c r="D29" t="s">
        <v>110</v>
      </c>
      <c r="E29" t="s">
        <v>103</v>
      </c>
      <c r="F29" t="s">
        <v>71</v>
      </c>
      <c r="G29">
        <v>5</v>
      </c>
      <c r="H29">
        <v>0</v>
      </c>
      <c r="I29" t="str">
        <f>OutputTable[[#This Row],[ProjectName]]&amp;OutputTable[[#This Row],[Name]]&amp;OutputTable[[#This Row],[Type]]&amp;OutputTable[[#This Row],[Source]]</f>
        <v>Unnamed ProjectPICTURE_VERMELHO.NumberInNumber InEntity</v>
      </c>
      <c r="J29" cm="1">
        <f t="array" ref="J29">MAX(IF((ProjectInfoTable[ProjectName]=OutputTable[[#This Row],[ProjectName]]),(ProjectInfoTable[ProjectName]=OutputTable[[#This Row],[ProjectName]])*ProjectInfoTable[NumberOfReplications]))</f>
        <v>10</v>
      </c>
      <c r="K29" cm="1">
        <f t="array" ref="K29">IFERROR(AVERAGE(IF((OutputTable[GroupByKey]=OutputTable[[#This Row],[GroupByKey]]),(OutputTable[GroupByKey]=OutputTable[[#This Row],[GroupByKey]])*OutputTable[RecordedValue])),0)</f>
        <v>5.5</v>
      </c>
      <c r="L29" cm="1">
        <f t="array" ref="L29">IFERROR(_xlfn.STDEV.S(IF((OutputTable[GroupByKey]=OutputTable[[#This Row],[GroupByKey]]),(OutputTable[GroupByKey]=OutputTable[[#This Row],[GroupByKey]])*OutputTable[RecordedValue])),0)</f>
        <v>2.0138409955990952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1.4406150637286517</v>
      </c>
      <c r="O29" cm="1">
        <f t="array" ref="O29">MIN(IF((OutputTable[GroupByKey]=OutputTable[[#This Row],[GroupByKey]]),(OutputTable[GroupByKey]=OutputTable[[#This Row],[GroupByKey]])*OutputTable[RecordedValue]))</f>
        <v>3</v>
      </c>
      <c r="P29" cm="1">
        <f t="array" ref="P29">MAX(IF((OutputTable[GroupByKey]=OutputTable[[#This Row],[GroupByKey]]),(OutputTable[GroupByKey]=OutputTable[[#This Row],[GroupByKey]])*OutputTable[RecordedValue]))</f>
        <v>9</v>
      </c>
    </row>
    <row r="30" spans="1:16" x14ac:dyDescent="0.3">
      <c r="A30" t="s">
        <v>66</v>
      </c>
      <c r="B30" t="s">
        <v>68</v>
      </c>
      <c r="C30">
        <v>2</v>
      </c>
      <c r="D30" t="s">
        <v>111</v>
      </c>
      <c r="E30" t="s">
        <v>105</v>
      </c>
      <c r="F30" t="s">
        <v>71</v>
      </c>
      <c r="G30">
        <v>5</v>
      </c>
      <c r="H30">
        <v>0</v>
      </c>
      <c r="I30" t="str">
        <f>OutputTable[[#This Row],[ProjectName]]&amp;OutputTable[[#This Row],[Name]]&amp;OutputTable[[#This Row],[Type]]&amp;OutputTable[[#This Row],[Source]]</f>
        <v>Unnamed ProjectPICTURE_VERMELHO.NumberOutNumber OutEntity</v>
      </c>
      <c r="J30" cm="1">
        <f t="array" ref="J30">MAX(IF((ProjectInfoTable[ProjectName]=OutputTable[[#This Row],[ProjectName]]),(ProjectInfoTable[ProjectName]=OutputTable[[#This Row],[ProjectName]])*ProjectInfoTable[NumberOfReplications]))</f>
        <v>10</v>
      </c>
      <c r="K30" cm="1">
        <f t="array" ref="K30">IFERROR(AVERAGE(IF((OutputTable[GroupByKey]=OutputTable[[#This Row],[GroupByKey]]),(OutputTable[GroupByKey]=OutputTable[[#This Row],[GroupByKey]])*OutputTable[RecordedValue])),0)</f>
        <v>3.6</v>
      </c>
      <c r="L30" cm="1">
        <f t="array" ref="L30">IFERROR(_xlfn.STDEV.S(IF((OutputTable[GroupByKey]=OutputTable[[#This Row],[GroupByKey]]),(OutputTable[GroupByKey]=OutputTable[[#This Row],[GroupByKey]])*OutputTable[RecordedValue])),0)</f>
        <v>0.84327404271156814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0.60324191007952155</v>
      </c>
      <c r="O30" cm="1">
        <f t="array" ref="O30">MIN(IF((OutputTable[GroupByKey]=OutputTable[[#This Row],[GroupByKey]]),(OutputTable[GroupByKey]=OutputTable[[#This Row],[GroupByKey]])*OutputTable[RecordedValue]))</f>
        <v>3</v>
      </c>
      <c r="P30" cm="1">
        <f t="array" ref="P30">MAX(IF((OutputTable[GroupByKey]=OutputTable[[#This Row],[GroupByKey]]),(OutputTable[GroupByKey]=OutputTable[[#This Row],[GroupByKey]])*OutputTable[RecordedValue]))</f>
        <v>5</v>
      </c>
    </row>
    <row r="31" spans="1:16" x14ac:dyDescent="0.3">
      <c r="A31" t="s">
        <v>66</v>
      </c>
      <c r="B31" t="s">
        <v>68</v>
      </c>
      <c r="C31">
        <v>2</v>
      </c>
      <c r="D31" t="s">
        <v>112</v>
      </c>
      <c r="E31" t="s">
        <v>105</v>
      </c>
      <c r="F31" t="s">
        <v>113</v>
      </c>
      <c r="G31">
        <v>23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10</v>
      </c>
      <c r="K31" cm="1">
        <f t="array" ref="K31">IFERROR(AVERAGE(IF((OutputTable[GroupByKey]=OutputTable[[#This Row],[GroupByKey]]),(OutputTable[GroupByKey]=OutputTable[[#This Row],[GroupByKey]])*OutputTable[RecordedValue])),0)</f>
        <v>23.1</v>
      </c>
      <c r="L31" cm="1">
        <f t="array" ref="L31">IFERROR(_xlfn.STDEV.S(IF((OutputTable[GroupByKey]=OutputTable[[#This Row],[GroupByKey]]),(OutputTable[GroupByKey]=OutputTable[[#This Row],[GroupByKey]])*OutputTable[RecordedValue])),0)</f>
        <v>3.4785054261852113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2.4883728790780211</v>
      </c>
      <c r="O31" cm="1">
        <f t="array" ref="O31">MIN(IF((OutputTable[GroupByKey]=OutputTable[[#This Row],[GroupByKey]]),(OutputTable[GroupByKey]=OutputTable[[#This Row],[GroupByKey]])*OutputTable[RecordedValue]))</f>
        <v>17</v>
      </c>
      <c r="P31" cm="1">
        <f t="array" ref="P31">MAX(IF((OutputTable[GroupByKey]=OutputTable[[#This Row],[GroupByKey]]),(OutputTable[GroupByKey]=OutputTable[[#This Row],[GroupByKey]])*OutputTable[RecordedValue]))</f>
        <v>28</v>
      </c>
    </row>
    <row r="32" spans="1:16" x14ac:dyDescent="0.3">
      <c r="A32" t="s">
        <v>66</v>
      </c>
      <c r="B32" t="s">
        <v>68</v>
      </c>
      <c r="C32">
        <v>3</v>
      </c>
      <c r="D32" t="s">
        <v>94</v>
      </c>
      <c r="E32" t="s">
        <v>95</v>
      </c>
      <c r="F32" t="s">
        <v>86</v>
      </c>
      <c r="G32">
        <v>21</v>
      </c>
      <c r="H32">
        <v>0</v>
      </c>
      <c r="I32" t="str">
        <f>OutputTable[[#This Row],[ProjectName]]&amp;OutputTable[[#This Row],[Name]]&amp;OutputTable[[#This Row],[Type]]&amp;OutputTable[[#This Row],[Source]]</f>
        <v>Unnamed ProjectOPERADOR_CORTE.NumberSeizedTotal Number SeizedResource</v>
      </c>
      <c r="J32" cm="1">
        <f t="array" ref="J32">MAX(IF((ProjectInfoTable[ProjectName]=OutputTable[[#This Row],[ProjectName]]),(ProjectInfoTable[ProjectName]=OutputTable[[#This Row],[ProjectName]])*ProjectInfoTable[NumberOfReplications]))</f>
        <v>10</v>
      </c>
      <c r="K32" cm="1">
        <f t="array" ref="K32">IFERROR(AVERAGE(IF((OutputTable[GroupByKey]=OutputTable[[#This Row],[GroupByKey]]),(OutputTable[GroupByKey]=OutputTable[[#This Row],[GroupByKey]])*OutputTable[RecordedValue])),0)</f>
        <v>15.9</v>
      </c>
      <c r="L32" cm="1">
        <f t="array" ref="L32">IFERROR(_xlfn.STDEV.S(IF((OutputTable[GroupByKey]=OutputTable[[#This Row],[GroupByKey]]),(OutputTable[GroupByKey]=OutputTable[[#This Row],[GroupByKey]])*OutputTable[RecordedValue])),0)</f>
        <v>3.247221034122016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2.3229219919723874</v>
      </c>
      <c r="O32" cm="1">
        <f t="array" ref="O32">MIN(IF((OutputTable[GroupByKey]=OutputTable[[#This Row],[GroupByKey]]),(OutputTable[GroupByKey]=OutputTable[[#This Row],[GroupByKey]])*OutputTable[RecordedValue]))</f>
        <v>12</v>
      </c>
      <c r="P32" cm="1">
        <f t="array" ref="P32">MAX(IF((OutputTable[GroupByKey]=OutputTable[[#This Row],[GroupByKey]]),(OutputTable[GroupByKey]=OutputTable[[#This Row],[GroupByKey]])*OutputTable[RecordedValue]))</f>
        <v>21</v>
      </c>
    </row>
    <row r="33" spans="1:16" x14ac:dyDescent="0.3">
      <c r="A33" t="s">
        <v>66</v>
      </c>
      <c r="B33" t="s">
        <v>68</v>
      </c>
      <c r="C33">
        <v>3</v>
      </c>
      <c r="D33" t="s">
        <v>96</v>
      </c>
      <c r="E33" t="s">
        <v>97</v>
      </c>
      <c r="F33" t="s">
        <v>86</v>
      </c>
      <c r="G33">
        <v>0.90373198712706704</v>
      </c>
      <c r="H33">
        <v>0</v>
      </c>
      <c r="I33" t="str">
        <f>OutputTable[[#This Row],[ProjectName]]&amp;OutputTable[[#This Row],[Name]]&amp;OutputTable[[#This Row],[Type]]&amp;OutputTable[[#This Row],[Source]]</f>
        <v>Unnamed ProjectOPERADOR_CORTE.ScheduledUtilizationScheduled UtilizationResource</v>
      </c>
      <c r="J33" cm="1">
        <f t="array" ref="J33">MAX(IF((ProjectInfoTable[ProjectName]=OutputTable[[#This Row],[ProjectName]]),(ProjectInfoTable[ProjectName]=OutputTable[[#This Row],[ProjectName]])*ProjectInfoTable[NumberOfReplications]))</f>
        <v>10</v>
      </c>
      <c r="K33" cm="1">
        <f t="array" ref="K33">IFERROR(AVERAGE(IF((OutputTable[GroupByKey]=OutputTable[[#This Row],[GroupByKey]]),(OutputTable[GroupByKey]=OutputTable[[#This Row],[GroupByKey]])*OutputTable[RecordedValue])),0)</f>
        <v>0.66328097868598235</v>
      </c>
      <c r="L33" cm="1">
        <f t="array" ref="L33">IFERROR(_xlfn.STDEV.S(IF((OutputTable[GroupByKey]=OutputTable[[#This Row],[GroupByKey]]),(OutputTable[GroupByKey]=OutputTable[[#This Row],[GroupByKey]])*OutputTable[RecordedValue])),0)</f>
        <v>0.13309360211006072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9.5209427409943759E-2</v>
      </c>
      <c r="O33" cm="1">
        <f t="array" ref="O33">MIN(IF((OutputTable[GroupByKey]=OutputTable[[#This Row],[GroupByKey]]),(OutputTable[GroupByKey]=OutputTable[[#This Row],[GroupByKey]])*OutputTable[RecordedValue]))</f>
        <v>0.50548165778050103</v>
      </c>
      <c r="P33" cm="1">
        <f t="array" ref="P33">MAX(IF((OutputTable[GroupByKey]=OutputTable[[#This Row],[GroupByKey]]),(OutputTable[GroupByKey]=OutputTable[[#This Row],[GroupByKey]])*OutputTable[RecordedValue]))</f>
        <v>0.90373198712706704</v>
      </c>
    </row>
    <row r="34" spans="1:16" x14ac:dyDescent="0.3">
      <c r="A34" t="s">
        <v>66</v>
      </c>
      <c r="B34" t="s">
        <v>68</v>
      </c>
      <c r="C34">
        <v>3</v>
      </c>
      <c r="D34" t="s">
        <v>98</v>
      </c>
      <c r="E34" t="s">
        <v>95</v>
      </c>
      <c r="F34" t="s">
        <v>86</v>
      </c>
      <c r="G34">
        <v>14</v>
      </c>
      <c r="H34">
        <v>0</v>
      </c>
      <c r="I34" t="str">
        <f>OutputTable[[#This Row],[ProjectName]]&amp;OutputTable[[#This Row],[Name]]&amp;OutputTable[[#This Row],[Type]]&amp;OutputTable[[#This Row],[Source]]</f>
        <v>Unnamed ProjectOPERADOR_LIXADEIRA.NumberSeizedTotal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10</v>
      </c>
      <c r="K34" cm="1">
        <f t="array" ref="K34">IFERROR(AVERAGE(IF((OutputTable[GroupByKey]=OutputTable[[#This Row],[GroupByKey]]),(OutputTable[GroupByKey]=OutputTable[[#This Row],[GroupByKey]])*OutputTable[RecordedValue])),0)</f>
        <v>13.4</v>
      </c>
      <c r="L34" cm="1">
        <f t="array" ref="L34">IFERROR(_xlfn.STDEV.S(IF((OutputTable[GroupByKey]=OutputTable[[#This Row],[GroupByKey]]),(OutputTable[GroupByKey]=OutputTable[[#This Row],[GroupByKey]])*OutputTable[RecordedValue])),0)</f>
        <v>2.1186998109427626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1.5156265414366468</v>
      </c>
      <c r="O34" cm="1">
        <f t="array" ref="O34">MIN(IF((OutputTable[GroupByKey]=OutputTable[[#This Row],[GroupByKey]]),(OutputTable[GroupByKey]=OutputTable[[#This Row],[GroupByKey]])*OutputTable[RecordedValue]))</f>
        <v>11</v>
      </c>
      <c r="P34" cm="1">
        <f t="array" ref="P34">MAX(IF((OutputTable[GroupByKey]=OutputTable[[#This Row],[GroupByKey]]),(OutputTable[GroupByKey]=OutputTable[[#This Row],[GroupByKey]])*OutputTable[RecordedValue]))</f>
        <v>18</v>
      </c>
    </row>
    <row r="35" spans="1:16" x14ac:dyDescent="0.3">
      <c r="A35" t="s">
        <v>66</v>
      </c>
      <c r="B35" t="s">
        <v>68</v>
      </c>
      <c r="C35">
        <v>3</v>
      </c>
      <c r="D35" t="s">
        <v>99</v>
      </c>
      <c r="E35" t="s">
        <v>97</v>
      </c>
      <c r="F35" t="s">
        <v>86</v>
      </c>
      <c r="G35">
        <v>0.62082413300639605</v>
      </c>
      <c r="H35">
        <v>0</v>
      </c>
      <c r="I35" t="str">
        <f>OutputTable[[#This Row],[ProjectName]]&amp;OutputTable[[#This Row],[Name]]&amp;OutputTable[[#This Row],[Type]]&amp;OutputTable[[#This Row],[Source]]</f>
        <v>Unnamed ProjectOPERADOR_LIXADEIRA.ScheduledUtilizationScheduled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10</v>
      </c>
      <c r="K35" cm="1">
        <f t="array" ref="K35">IFERROR(AVERAGE(IF((OutputTable[GroupByKey]=OutputTable[[#This Row],[GroupByKey]]),(OutputTable[GroupByKey]=OutputTable[[#This Row],[GroupByKey]])*OutputTable[RecordedValue])),0)</f>
        <v>0.61388612230942741</v>
      </c>
      <c r="L35" cm="1">
        <f t="array" ref="L35">IFERROR(_xlfn.STDEV.S(IF((OutputTable[GroupByKey]=OutputTable[[#This Row],[GroupByKey]]),(OutputTable[GroupByKey]=OutputTable[[#This Row],[GroupByKey]])*OutputTable[RecordedValue])),0)</f>
        <v>0.11265505672935852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8.0588572823863613E-2</v>
      </c>
      <c r="O35" cm="1">
        <f t="array" ref="O35">MIN(IF((OutputTable[GroupByKey]=OutputTable[[#This Row],[GroupByKey]]),(OutputTable[GroupByKey]=OutputTable[[#This Row],[GroupByKey]])*OutputTable[RecordedValue]))</f>
        <v>0.48262851817987601</v>
      </c>
      <c r="P35" cm="1">
        <f t="array" ref="P35">MAX(IF((OutputTable[GroupByKey]=OutputTable[[#This Row],[GroupByKey]]),(OutputTable[GroupByKey]=OutputTable[[#This Row],[GroupByKey]])*OutputTable[RecordedValue]))</f>
        <v>0.85064625227951796</v>
      </c>
    </row>
    <row r="36" spans="1:16" x14ac:dyDescent="0.3">
      <c r="A36" t="s">
        <v>66</v>
      </c>
      <c r="B36" t="s">
        <v>68</v>
      </c>
      <c r="C36">
        <v>3</v>
      </c>
      <c r="D36" t="s">
        <v>100</v>
      </c>
      <c r="E36" t="s">
        <v>95</v>
      </c>
      <c r="F36" t="s">
        <v>86</v>
      </c>
      <c r="G36">
        <v>18</v>
      </c>
      <c r="H36">
        <v>0</v>
      </c>
      <c r="I36" t="str">
        <f>OutputTable[[#This Row],[ProjectName]]&amp;OutputTable[[#This Row],[Name]]&amp;OutputTable[[#This Row],[Type]]&amp;OutputTable[[#This Row],[Source]]</f>
        <v>Unnamed ProjectOPERADOR_TORNO.NumberSeizedTotal Number SeizedResource</v>
      </c>
      <c r="J36" cm="1">
        <f t="array" ref="J36">MAX(IF((ProjectInfoTable[ProjectName]=OutputTable[[#This Row],[ProjectName]]),(ProjectInfoTable[ProjectName]=OutputTable[[#This Row],[ProjectName]])*ProjectInfoTable[NumberOfReplications]))</f>
        <v>10</v>
      </c>
      <c r="K36" cm="1">
        <f t="array" ref="K36">IFERROR(AVERAGE(IF((OutputTable[GroupByKey]=OutputTable[[#This Row],[GroupByKey]]),(OutputTable[GroupByKey]=OutputTable[[#This Row],[GroupByKey]])*OutputTable[RecordedValue])),0)</f>
        <v>15.6</v>
      </c>
      <c r="L36" cm="1">
        <f t="array" ref="L36">IFERROR(_xlfn.STDEV.S(IF((OutputTable[GroupByKey]=OutputTable[[#This Row],[GroupByKey]]),(OutputTable[GroupByKey]=OutputTable[[#This Row],[GroupByKey]])*OutputTable[RecordedValue])),0)</f>
        <v>2.716206504995117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1.9430570813906995</v>
      </c>
      <c r="O36" cm="1">
        <f t="array" ref="O36">MIN(IF((OutputTable[GroupByKey]=OutputTable[[#This Row],[GroupByKey]]),(OutputTable[GroupByKey]=OutputTable[[#This Row],[GroupByKey]])*OutputTable[RecordedValue]))</f>
        <v>10</v>
      </c>
      <c r="P36" cm="1">
        <f t="array" ref="P36">MAX(IF((OutputTable[GroupByKey]=OutputTable[[#This Row],[GroupByKey]]),(OutputTable[GroupByKey]=OutputTable[[#This Row],[GroupByKey]])*OutputTable[RecordedValue]))</f>
        <v>19</v>
      </c>
    </row>
    <row r="37" spans="1:16" x14ac:dyDescent="0.3">
      <c r="A37" t="s">
        <v>66</v>
      </c>
      <c r="B37" t="s">
        <v>68</v>
      </c>
      <c r="C37">
        <v>3</v>
      </c>
      <c r="D37" t="s">
        <v>101</v>
      </c>
      <c r="E37" t="s">
        <v>97</v>
      </c>
      <c r="F37" t="s">
        <v>86</v>
      </c>
      <c r="G37">
        <v>0.95388746541192004</v>
      </c>
      <c r="H37">
        <v>0</v>
      </c>
      <c r="I37" t="str">
        <f>OutputTable[[#This Row],[ProjectName]]&amp;OutputTable[[#This Row],[Name]]&amp;OutputTable[[#This Row],[Type]]&amp;OutputTable[[#This Row],[Source]]</f>
        <v>Unnamed ProjectOPERADOR_TORNO.ScheduledUtilizationScheduled UtilizationResource</v>
      </c>
      <c r="J37" cm="1">
        <f t="array" ref="J37">MAX(IF((ProjectInfoTable[ProjectName]=OutputTable[[#This Row],[ProjectName]]),(ProjectInfoTable[ProjectName]=OutputTable[[#This Row],[ProjectName]])*ProjectInfoTable[NumberOfReplications]))</f>
        <v>10</v>
      </c>
      <c r="K37" cm="1">
        <f t="array" ref="K37">IFERROR(AVERAGE(IF((OutputTable[GroupByKey]=OutputTable[[#This Row],[GroupByKey]]),(OutputTable[GroupByKey]=OutputTable[[#This Row],[GroupByKey]])*OutputTable[RecordedValue])),0)</f>
        <v>0.82376875514414072</v>
      </c>
      <c r="L37" cm="1">
        <f t="array" ref="L37">IFERROR(_xlfn.STDEV.S(IF((OutputTable[GroupByKey]=OutputTable[[#This Row],[GroupByKey]]),(OutputTable[GroupByKey]=OutputTable[[#This Row],[GroupByKey]])*OutputTable[RecordedValue])),0)</f>
        <v>0.13969928470385456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9.9934848072064403E-2</v>
      </c>
      <c r="O37" cm="1">
        <f t="array" ref="O37">MIN(IF((OutputTable[GroupByKey]=OutputTable[[#This Row],[GroupByKey]]),(OutputTable[GroupByKey]=OutputTable[[#This Row],[GroupByKey]])*OutputTable[RecordedValue]))</f>
        <v>0.51379543219592505</v>
      </c>
      <c r="P37" cm="1">
        <f t="array" ref="P37">MAX(IF((OutputTable[GroupByKey]=OutputTable[[#This Row],[GroupByKey]]),(OutputTable[GroupByKey]=OutputTable[[#This Row],[GroupByKey]])*OutputTable[RecordedValue]))</f>
        <v>0.98397972672724299</v>
      </c>
    </row>
    <row r="38" spans="1:16" x14ac:dyDescent="0.3">
      <c r="A38" t="s">
        <v>66</v>
      </c>
      <c r="B38" t="s">
        <v>68</v>
      </c>
      <c r="C38">
        <v>3</v>
      </c>
      <c r="D38" t="s">
        <v>102</v>
      </c>
      <c r="E38" t="s">
        <v>103</v>
      </c>
      <c r="F38" t="s">
        <v>71</v>
      </c>
      <c r="G38">
        <v>41</v>
      </c>
      <c r="H38">
        <v>0</v>
      </c>
      <c r="I38" t="str">
        <f>OutputTable[[#This Row],[ProjectName]]&amp;OutputTable[[#This Row],[Name]]&amp;OutputTable[[#This Row],[Type]]&amp;OutputTable[[#This Row],[Source]]</f>
        <v>Unnamed ProjectPECA.NumberInNumber InEntity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10</v>
      </c>
      <c r="K38" cm="1">
        <f t="array" ref="K38">IFERROR(AVERAGE(IF((OutputTable[GroupByKey]=OutputTable[[#This Row],[GroupByKey]]),(OutputTable[GroupByKey]=OutputTable[[#This Row],[GroupByKey]])*OutputTable[RecordedValue])),0)</f>
        <v>29.9</v>
      </c>
      <c r="L38" cm="1">
        <f t="array" ref="L38">IFERROR(_xlfn.STDEV.S(IF((OutputTable[GroupByKey]=OutputTable[[#This Row],[GroupByKey]]),(OutputTable[GroupByKey]=OutputTable[[#This Row],[GroupByKey]])*OutputTable[RecordedValue])),0)</f>
        <v>6.4195880795508264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38" cm="1">
        <f t="array" ref="O38">MIN(IF((OutputTable[GroupByKey]=OutputTable[[#This Row],[GroupByKey]]),(OutputTable[GroupByKey]=OutputTable[[#This Row],[GroupByKey]])*OutputTable[RecordedValue]))</f>
        <v>20</v>
      </c>
      <c r="P38" cm="1">
        <f t="array" ref="P38">MAX(IF((OutputTable[GroupByKey]=OutputTable[[#This Row],[GroupByKey]]),(OutputTable[GroupByKey]=OutputTable[[#This Row],[GroupByKey]])*OutputTable[RecordedValue]))</f>
        <v>41</v>
      </c>
    </row>
    <row r="39" spans="1:16" x14ac:dyDescent="0.3">
      <c r="A39" t="s">
        <v>66</v>
      </c>
      <c r="B39" t="s">
        <v>68</v>
      </c>
      <c r="C39">
        <v>3</v>
      </c>
      <c r="D39" t="s">
        <v>104</v>
      </c>
      <c r="E39" t="s">
        <v>105</v>
      </c>
      <c r="F39" t="s">
        <v>71</v>
      </c>
      <c r="G39">
        <v>41</v>
      </c>
      <c r="H39">
        <v>0</v>
      </c>
      <c r="I39" t="str">
        <f>OutputTable[[#This Row],[ProjectName]]&amp;OutputTable[[#This Row],[Name]]&amp;OutputTable[[#This Row],[Type]]&amp;OutputTable[[#This Row],[Source]]</f>
        <v>Unnamed ProjectPECA.NumberOutNumber OutEntity</v>
      </c>
      <c r="J39" cm="1">
        <f t="array" ref="J39">MAX(IF((ProjectInfoTable[ProjectName]=OutputTable[[#This Row],[ProjectName]]),(ProjectInfoTable[ProjectName]=OutputTable[[#This Row],[ProjectName]])*ProjectInfoTable[NumberOfReplications]))</f>
        <v>10</v>
      </c>
      <c r="K39" cm="1">
        <f t="array" ref="K39">IFERROR(AVERAGE(IF((OutputTable[GroupByKey]=OutputTable[[#This Row],[GroupByKey]]),(OutputTable[GroupByKey]=OutputTable[[#This Row],[GroupByKey]])*OutputTable[RecordedValue])),0)</f>
        <v>29.9</v>
      </c>
      <c r="L39" cm="1">
        <f t="array" ref="L39">IFERROR(_xlfn.STDEV.S(IF((OutputTable[GroupByKey]=OutputTable[[#This Row],[GroupByKey]]),(OutputTable[GroupByKey]=OutputTable[[#This Row],[GroupByKey]])*OutputTable[RecordedValue])),0)</f>
        <v>6.4195880795508264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39" cm="1">
        <f t="array" ref="O39">MIN(IF((OutputTable[GroupByKey]=OutputTable[[#This Row],[GroupByKey]]),(OutputTable[GroupByKey]=OutputTable[[#This Row],[GroupByKey]])*OutputTable[RecordedValue]))</f>
        <v>20</v>
      </c>
      <c r="P39" cm="1">
        <f t="array" ref="P39">MAX(IF((OutputTable[GroupByKey]=OutputTable[[#This Row],[GroupByKey]]),(OutputTable[GroupByKey]=OutputTable[[#This Row],[GroupByKey]])*OutputTable[RecordedValue]))</f>
        <v>41</v>
      </c>
    </row>
    <row r="40" spans="1:16" x14ac:dyDescent="0.3">
      <c r="A40" t="s">
        <v>66</v>
      </c>
      <c r="B40" t="s">
        <v>68</v>
      </c>
      <c r="C40">
        <v>3</v>
      </c>
      <c r="D40" t="s">
        <v>106</v>
      </c>
      <c r="E40" t="s">
        <v>103</v>
      </c>
      <c r="F40" t="s">
        <v>71</v>
      </c>
      <c r="G40">
        <v>20</v>
      </c>
      <c r="H40">
        <v>0</v>
      </c>
      <c r="I40" t="str">
        <f>OutputTable[[#This Row],[ProjectName]]&amp;OutputTable[[#This Row],[Name]]&amp;OutputTable[[#This Row],[Type]]&amp;OutputTable[[#This Row],[Source]]</f>
        <v>Unnamed ProjectPICTURE_AZUL.NumberInNumber InEntity</v>
      </c>
      <c r="J40" cm="1">
        <f t="array" ref="J40">MAX(IF((ProjectInfoTable[ProjectName]=OutputTable[[#This Row],[ProjectName]]),(ProjectInfoTable[ProjectName]=OutputTable[[#This Row],[ProjectName]])*ProjectInfoTable[NumberOfReplications]))</f>
        <v>10</v>
      </c>
      <c r="K40" cm="1">
        <f t="array" ref="K40">IFERROR(AVERAGE(IF((OutputTable[GroupByKey]=OutputTable[[#This Row],[GroupByKey]]),(OutputTable[GroupByKey]=OutputTable[[#This Row],[GroupByKey]])*OutputTable[RecordedValue])),0)</f>
        <v>13.3</v>
      </c>
      <c r="L40" cm="1">
        <f t="array" ref="L40">IFERROR(_xlfn.STDEV.S(IF((OutputTable[GroupByKey]=OutputTable[[#This Row],[GroupByKey]]),(OutputTable[GroupByKey]=OutputTable[[#This Row],[GroupByKey]])*OutputTable[RecordedValue])),0)</f>
        <v>4.2700507413066324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3.0546102866388556</v>
      </c>
      <c r="O40" cm="1">
        <f t="array" ref="O40">MIN(IF((OutputTable[GroupByKey]=OutputTable[[#This Row],[GroupByKey]]),(OutputTable[GroupByKey]=OutputTable[[#This Row],[GroupByKey]])*OutputTable[RecordedValue]))</f>
        <v>7</v>
      </c>
      <c r="P40" cm="1">
        <f t="array" ref="P40">MAX(IF((OutputTable[GroupByKey]=OutputTable[[#This Row],[GroupByKey]]),(OutputTable[GroupByKey]=OutputTable[[#This Row],[GroupByKey]])*OutputTable[RecordedValue]))</f>
        <v>20</v>
      </c>
    </row>
    <row r="41" spans="1:16" x14ac:dyDescent="0.3">
      <c r="A41" t="s">
        <v>66</v>
      </c>
      <c r="B41" t="s">
        <v>68</v>
      </c>
      <c r="C41">
        <v>3</v>
      </c>
      <c r="D41" t="s">
        <v>107</v>
      </c>
      <c r="E41" t="s">
        <v>105</v>
      </c>
      <c r="F41" t="s">
        <v>71</v>
      </c>
      <c r="G41">
        <v>13</v>
      </c>
      <c r="H41">
        <v>0</v>
      </c>
      <c r="I41" t="str">
        <f>OutputTable[[#This Row],[ProjectName]]&amp;OutputTable[[#This Row],[Name]]&amp;OutputTable[[#This Row],[Type]]&amp;OutputTable[[#This Row],[Source]]</f>
        <v>Unnamed ProjectPICTURE_AZUL.NumberOutNumber OutEntity</v>
      </c>
      <c r="J41" cm="1">
        <f t="array" ref="J41">MAX(IF((ProjectInfoTable[ProjectName]=OutputTable[[#This Row],[ProjectName]]),(ProjectInfoTable[ProjectName]=OutputTable[[#This Row],[ProjectName]])*ProjectInfoTable[NumberOfReplications]))</f>
        <v>10</v>
      </c>
      <c r="K41" cm="1">
        <f t="array" ref="K41">IFERROR(AVERAGE(IF((OutputTable[GroupByKey]=OutputTable[[#This Row],[GroupByKey]]),(OutputTable[GroupByKey]=OutputTable[[#This Row],[GroupByKey]])*OutputTable[RecordedValue])),0)</f>
        <v>10.6</v>
      </c>
      <c r="L41" cm="1">
        <f t="array" ref="L41">IFERROR(_xlfn.STDEV.S(IF((OutputTable[GroupByKey]=OutputTable[[#This Row],[GroupByKey]]),(OutputTable[GroupByKey]=OutputTable[[#This Row],[GroupByKey]])*OutputTable[RecordedValue])),0)</f>
        <v>2.2705848487901892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1.6242785521744192</v>
      </c>
      <c r="O41" cm="1">
        <f t="array" ref="O41">MIN(IF((OutputTable[GroupByKey]=OutputTable[[#This Row],[GroupByKey]]),(OutputTable[GroupByKey]=OutputTable[[#This Row],[GroupByKey]])*OutputTable[RecordedValue]))</f>
        <v>6</v>
      </c>
      <c r="P41" cm="1">
        <f t="array" ref="P41">MAX(IF((OutputTable[GroupByKey]=OutputTable[[#This Row],[GroupByKey]]),(OutputTable[GroupByKey]=OutputTable[[#This Row],[GroupByKey]])*OutputTable[RecordedValue]))</f>
        <v>13</v>
      </c>
    </row>
    <row r="42" spans="1:16" x14ac:dyDescent="0.3">
      <c r="A42" t="s">
        <v>66</v>
      </c>
      <c r="B42" t="s">
        <v>68</v>
      </c>
      <c r="C42">
        <v>3</v>
      </c>
      <c r="D42" t="s">
        <v>108</v>
      </c>
      <c r="E42" t="s">
        <v>103</v>
      </c>
      <c r="F42" t="s">
        <v>71</v>
      </c>
      <c r="G42">
        <v>12</v>
      </c>
      <c r="H42">
        <v>0</v>
      </c>
      <c r="I42" t="str">
        <f>OutputTable[[#This Row],[ProjectName]]&amp;OutputTable[[#This Row],[Name]]&amp;OutputTable[[#This Row],[Type]]&amp;OutputTable[[#This Row],[Source]]</f>
        <v>Unnamed ProjectPICTURE_VERDE.NumberInNumber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10</v>
      </c>
      <c r="K42" cm="1">
        <f t="array" ref="K42">IFERROR(AVERAGE(IF((OutputTable[GroupByKey]=OutputTable[[#This Row],[GroupByKey]]),(OutputTable[GroupByKey]=OutputTable[[#This Row],[GroupByKey]])*OutputTable[RecordedValue])),0)</f>
        <v>11.1</v>
      </c>
      <c r="L42" cm="1">
        <f t="array" ref="L42">IFERROR(_xlfn.STDEV.S(IF((OutputTable[GroupByKey]=OutputTable[[#This Row],[GroupByKey]]),(OutputTable[GroupByKey]=OutputTable[[#This Row],[GroupByKey]])*OutputTable[RecordedValue])),0)</f>
        <v>2.726414006223806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1.9503590878873462</v>
      </c>
      <c r="O42" cm="1">
        <f t="array" ref="O42">MIN(IF((OutputTable[GroupByKey]=OutputTable[[#This Row],[GroupByKey]]),(OutputTable[GroupByKey]=OutputTable[[#This Row],[GroupByKey]])*OutputTable[RecordedValue]))</f>
        <v>8</v>
      </c>
      <c r="P42" cm="1">
        <f t="array" ref="P42">MAX(IF((OutputTable[GroupByKey]=OutputTable[[#This Row],[GroupByKey]]),(OutputTable[GroupByKey]=OutputTable[[#This Row],[GroupByKey]])*OutputTable[RecordedValue]))</f>
        <v>16</v>
      </c>
    </row>
    <row r="43" spans="1:16" x14ac:dyDescent="0.3">
      <c r="A43" t="s">
        <v>66</v>
      </c>
      <c r="B43" t="s">
        <v>68</v>
      </c>
      <c r="C43">
        <v>3</v>
      </c>
      <c r="D43" t="s">
        <v>109</v>
      </c>
      <c r="E43" t="s">
        <v>105</v>
      </c>
      <c r="F43" t="s">
        <v>71</v>
      </c>
      <c r="G43">
        <v>9</v>
      </c>
      <c r="H43">
        <v>0</v>
      </c>
      <c r="I43" t="str">
        <f>OutputTable[[#This Row],[ProjectName]]&amp;OutputTable[[#This Row],[Name]]&amp;OutputTable[[#This Row],[Type]]&amp;OutputTable[[#This Row],[Source]]</f>
        <v>Unnamed ProjectPICTURE_VERDE.NumberOutNumber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10</v>
      </c>
      <c r="K43" cm="1">
        <f t="array" ref="K43">IFERROR(AVERAGE(IF((OutputTable[GroupByKey]=OutputTable[[#This Row],[GroupByKey]]),(OutputTable[GroupByKey]=OutputTable[[#This Row],[GroupByKey]])*OutputTable[RecordedValue])),0)</f>
        <v>8.9</v>
      </c>
      <c r="L43" cm="1">
        <f t="array" ref="L43">IFERROR(_xlfn.STDEV.S(IF((OutputTable[GroupByKey]=OutputTable[[#This Row],[GroupByKey]]),(OutputTable[GroupByKey]=OutputTable[[#This Row],[GroupByKey]])*OutputTable[RecordedValue])),0)</f>
        <v>2.4244128727957572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1.7343204914786237</v>
      </c>
      <c r="O43" cm="1">
        <f t="array" ref="O43">MIN(IF((OutputTable[GroupByKey]=OutputTable[[#This Row],[GroupByKey]]),(OutputTable[GroupByKey]=OutputTable[[#This Row],[GroupByKey]])*OutputTable[RecordedValue]))</f>
        <v>6</v>
      </c>
      <c r="P43" cm="1">
        <f t="array" ref="P43">MAX(IF((OutputTable[GroupByKey]=OutputTable[[#This Row],[GroupByKey]]),(OutputTable[GroupByKey]=OutputTable[[#This Row],[GroupByKey]])*OutputTable[RecordedValue]))</f>
        <v>14</v>
      </c>
    </row>
    <row r="44" spans="1:16" x14ac:dyDescent="0.3">
      <c r="A44" t="s">
        <v>66</v>
      </c>
      <c r="B44" t="s">
        <v>68</v>
      </c>
      <c r="C44">
        <v>3</v>
      </c>
      <c r="D44" t="s">
        <v>110</v>
      </c>
      <c r="E44" t="s">
        <v>103</v>
      </c>
      <c r="F44" t="s">
        <v>71</v>
      </c>
      <c r="G44">
        <v>9</v>
      </c>
      <c r="H44">
        <v>0</v>
      </c>
      <c r="I44" t="str">
        <f>OutputTable[[#This Row],[ProjectName]]&amp;OutputTable[[#This Row],[Name]]&amp;OutputTable[[#This Row],[Type]]&amp;OutputTable[[#This Row],[Source]]</f>
        <v>Unnamed ProjectPICTURE_VERMELHO.NumberInNumber InEntity</v>
      </c>
      <c r="J44" cm="1">
        <f t="array" ref="J44">MAX(IF((ProjectInfoTable[ProjectName]=OutputTable[[#This Row],[ProjectName]]),(ProjectInfoTable[ProjectName]=OutputTable[[#This Row],[ProjectName]])*ProjectInfoTable[NumberOfReplications]))</f>
        <v>10</v>
      </c>
      <c r="K44" cm="1">
        <f t="array" ref="K44">IFERROR(AVERAGE(IF((OutputTable[GroupByKey]=OutputTable[[#This Row],[GroupByKey]]),(OutputTable[GroupByKey]=OutputTable[[#This Row],[GroupByKey]])*OutputTable[RecordedValue])),0)</f>
        <v>5.5</v>
      </c>
      <c r="L44" cm="1">
        <f t="array" ref="L44">IFERROR(_xlfn.STDEV.S(IF((OutputTable[GroupByKey]=OutputTable[[#This Row],[GroupByKey]]),(OutputTable[GroupByKey]=OutputTable[[#This Row],[GroupByKey]])*OutputTable[RecordedValue])),0)</f>
        <v>2.0138409955990952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1.4406150637286517</v>
      </c>
      <c r="O44" cm="1">
        <f t="array" ref="O44">MIN(IF((OutputTable[GroupByKey]=OutputTable[[#This Row],[GroupByKey]]),(OutputTable[GroupByKey]=OutputTable[[#This Row],[GroupByKey]])*OutputTable[RecordedValue]))</f>
        <v>3</v>
      </c>
      <c r="P44" cm="1">
        <f t="array" ref="P44">MAX(IF((OutputTable[GroupByKey]=OutputTable[[#This Row],[GroupByKey]]),(OutputTable[GroupByKey]=OutputTable[[#This Row],[GroupByKey]])*OutputTable[RecordedValue]))</f>
        <v>9</v>
      </c>
    </row>
    <row r="45" spans="1:16" x14ac:dyDescent="0.3">
      <c r="A45" t="s">
        <v>66</v>
      </c>
      <c r="B45" t="s">
        <v>68</v>
      </c>
      <c r="C45">
        <v>3</v>
      </c>
      <c r="D45" t="s">
        <v>111</v>
      </c>
      <c r="E45" t="s">
        <v>105</v>
      </c>
      <c r="F45" t="s">
        <v>71</v>
      </c>
      <c r="G45">
        <v>4</v>
      </c>
      <c r="H45">
        <v>0</v>
      </c>
      <c r="I45" t="str">
        <f>OutputTable[[#This Row],[ProjectName]]&amp;OutputTable[[#This Row],[Name]]&amp;OutputTable[[#This Row],[Type]]&amp;OutputTable[[#This Row],[Source]]</f>
        <v>Unnamed ProjectPICTURE_VERMELHO.NumberOutNumber OutEntity</v>
      </c>
      <c r="J45" cm="1">
        <f t="array" ref="J45">MAX(IF((ProjectInfoTable[ProjectName]=OutputTable[[#This Row],[ProjectName]]),(ProjectInfoTable[ProjectName]=OutputTable[[#This Row],[ProjectName]])*ProjectInfoTable[NumberOfReplications]))</f>
        <v>10</v>
      </c>
      <c r="K45" cm="1">
        <f t="array" ref="K45">IFERROR(AVERAGE(IF((OutputTable[GroupByKey]=OutputTable[[#This Row],[GroupByKey]]),(OutputTable[GroupByKey]=OutputTable[[#This Row],[GroupByKey]])*OutputTable[RecordedValue])),0)</f>
        <v>3.6</v>
      </c>
      <c r="L45" cm="1">
        <f t="array" ref="L45">IFERROR(_xlfn.STDEV.S(IF((OutputTable[GroupByKey]=OutputTable[[#This Row],[GroupByKey]]),(OutputTable[GroupByKey]=OutputTable[[#This Row],[GroupByKey]])*OutputTable[RecordedValue])),0)</f>
        <v>0.84327404271156814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0.60324191007952155</v>
      </c>
      <c r="O45" cm="1">
        <f t="array" ref="O45">MIN(IF((OutputTable[GroupByKey]=OutputTable[[#This Row],[GroupByKey]]),(OutputTable[GroupByKey]=OutputTable[[#This Row],[GroupByKey]])*OutputTable[RecordedValue]))</f>
        <v>3</v>
      </c>
      <c r="P45" cm="1">
        <f t="array" ref="P45">MAX(IF((OutputTable[GroupByKey]=OutputTable[[#This Row],[GroupByKey]]),(OutputTable[GroupByKey]=OutputTable[[#This Row],[GroupByKey]])*OutputTable[RecordedValue]))</f>
        <v>5</v>
      </c>
    </row>
    <row r="46" spans="1:16" x14ac:dyDescent="0.3">
      <c r="A46" t="s">
        <v>66</v>
      </c>
      <c r="B46" t="s">
        <v>68</v>
      </c>
      <c r="C46">
        <v>3</v>
      </c>
      <c r="D46" t="s">
        <v>112</v>
      </c>
      <c r="E46" t="s">
        <v>105</v>
      </c>
      <c r="F46" t="s">
        <v>113</v>
      </c>
      <c r="G46">
        <v>26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10</v>
      </c>
      <c r="K46" cm="1">
        <f t="array" ref="K46">IFERROR(AVERAGE(IF((OutputTable[GroupByKey]=OutputTable[[#This Row],[GroupByKey]]),(OutputTable[GroupByKey]=OutputTable[[#This Row],[GroupByKey]])*OutputTable[RecordedValue])),0)</f>
        <v>23.1</v>
      </c>
      <c r="L46" cm="1">
        <f t="array" ref="L46">IFERROR(_xlfn.STDEV.S(IF((OutputTable[GroupByKey]=OutputTable[[#This Row],[GroupByKey]]),(OutputTable[GroupByKey]=OutputTable[[#This Row],[GroupByKey]])*OutputTable[RecordedValue])),0)</f>
        <v>3.4785054261852113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2.4883728790780211</v>
      </c>
      <c r="O46" cm="1">
        <f t="array" ref="O46">MIN(IF((OutputTable[GroupByKey]=OutputTable[[#This Row],[GroupByKey]]),(OutputTable[GroupByKey]=OutputTable[[#This Row],[GroupByKey]])*OutputTable[RecordedValue]))</f>
        <v>17</v>
      </c>
      <c r="P46" cm="1">
        <f t="array" ref="P46">MAX(IF((OutputTable[GroupByKey]=OutputTable[[#This Row],[GroupByKey]]),(OutputTable[GroupByKey]=OutputTable[[#This Row],[GroupByKey]])*OutputTable[RecordedValue]))</f>
        <v>28</v>
      </c>
    </row>
    <row r="47" spans="1:16" x14ac:dyDescent="0.3">
      <c r="A47" t="s">
        <v>66</v>
      </c>
      <c r="B47" t="s">
        <v>68</v>
      </c>
      <c r="C47">
        <v>4</v>
      </c>
      <c r="D47" t="s">
        <v>94</v>
      </c>
      <c r="E47" t="s">
        <v>95</v>
      </c>
      <c r="F47" t="s">
        <v>86</v>
      </c>
      <c r="G47">
        <v>15</v>
      </c>
      <c r="H47">
        <v>0</v>
      </c>
      <c r="I47" t="str">
        <f>OutputTable[[#This Row],[ProjectName]]&amp;OutputTable[[#This Row],[Name]]&amp;OutputTable[[#This Row],[Type]]&amp;OutputTable[[#This Row],[Source]]</f>
        <v>Unnamed ProjectOPERADOR_CORTE.NumberSeizedTotal Number SeizedResource</v>
      </c>
      <c r="J47" cm="1">
        <f t="array" ref="J47">MAX(IF((ProjectInfoTable[ProjectName]=OutputTable[[#This Row],[ProjectName]]),(ProjectInfoTable[ProjectName]=OutputTable[[#This Row],[ProjectName]])*ProjectInfoTable[NumberOfReplications]))</f>
        <v>10</v>
      </c>
      <c r="K47" cm="1">
        <f t="array" ref="K47">IFERROR(AVERAGE(IF((OutputTable[GroupByKey]=OutputTable[[#This Row],[GroupByKey]]),(OutputTable[GroupByKey]=OutputTable[[#This Row],[GroupByKey]])*OutputTable[RecordedValue])),0)</f>
        <v>15.9</v>
      </c>
      <c r="L47" cm="1">
        <f t="array" ref="L47">IFERROR(_xlfn.STDEV.S(IF((OutputTable[GroupByKey]=OutputTable[[#This Row],[GroupByKey]]),(OutputTable[GroupByKey]=OutputTable[[#This Row],[GroupByKey]])*OutputTable[RecordedValue])),0)</f>
        <v>3.247221034122016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2.3229219919723874</v>
      </c>
      <c r="O47" cm="1">
        <f t="array" ref="O47">MIN(IF((OutputTable[GroupByKey]=OutputTable[[#This Row],[GroupByKey]]),(OutputTable[GroupByKey]=OutputTable[[#This Row],[GroupByKey]])*OutputTable[RecordedValue]))</f>
        <v>12</v>
      </c>
      <c r="P47" cm="1">
        <f t="array" ref="P47">MAX(IF((OutputTable[GroupByKey]=OutputTable[[#This Row],[GroupByKey]]),(OutputTable[GroupByKey]=OutputTable[[#This Row],[GroupByKey]])*OutputTable[RecordedValue]))</f>
        <v>21</v>
      </c>
    </row>
    <row r="48" spans="1:16" x14ac:dyDescent="0.3">
      <c r="A48" t="s">
        <v>66</v>
      </c>
      <c r="B48" t="s">
        <v>68</v>
      </c>
      <c r="C48">
        <v>4</v>
      </c>
      <c r="D48" t="s">
        <v>96</v>
      </c>
      <c r="E48" t="s">
        <v>97</v>
      </c>
      <c r="F48" t="s">
        <v>86</v>
      </c>
      <c r="G48">
        <v>0.65378036651555205</v>
      </c>
      <c r="H48">
        <v>0</v>
      </c>
      <c r="I48" t="str">
        <f>OutputTable[[#This Row],[ProjectName]]&amp;OutputTable[[#This Row],[Name]]&amp;OutputTable[[#This Row],[Type]]&amp;OutputTable[[#This Row],[Source]]</f>
        <v>Unnamed ProjectOPERADOR_CORTE.ScheduledUtilizationScheduled UtilizationResource</v>
      </c>
      <c r="J48" cm="1">
        <f t="array" ref="J48">MAX(IF((ProjectInfoTable[ProjectName]=OutputTable[[#This Row],[ProjectName]]),(ProjectInfoTable[ProjectName]=OutputTable[[#This Row],[ProjectName]])*ProjectInfoTable[NumberOfReplications]))</f>
        <v>10</v>
      </c>
      <c r="K48" cm="1">
        <f t="array" ref="K48">IFERROR(AVERAGE(IF((OutputTable[GroupByKey]=OutputTable[[#This Row],[GroupByKey]]),(OutputTable[GroupByKey]=OutputTable[[#This Row],[GroupByKey]])*OutputTable[RecordedValue])),0)</f>
        <v>0.66328097868598235</v>
      </c>
      <c r="L48" cm="1">
        <f t="array" ref="L48">IFERROR(_xlfn.STDEV.S(IF((OutputTable[GroupByKey]=OutputTable[[#This Row],[GroupByKey]]),(OutputTable[GroupByKey]=OutputTable[[#This Row],[GroupByKey]])*OutputTable[RecordedValue])),0)</f>
        <v>0.13309360211006072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9.5209427409943759E-2</v>
      </c>
      <c r="O48" cm="1">
        <f t="array" ref="O48">MIN(IF((OutputTable[GroupByKey]=OutputTable[[#This Row],[GroupByKey]]),(OutputTable[GroupByKey]=OutputTable[[#This Row],[GroupByKey]])*OutputTable[RecordedValue]))</f>
        <v>0.50548165778050103</v>
      </c>
      <c r="P48" cm="1">
        <f t="array" ref="P48">MAX(IF((OutputTable[GroupByKey]=OutputTable[[#This Row],[GroupByKey]]),(OutputTable[GroupByKey]=OutputTable[[#This Row],[GroupByKey]])*OutputTable[RecordedValue]))</f>
        <v>0.90373198712706704</v>
      </c>
    </row>
    <row r="49" spans="1:16" x14ac:dyDescent="0.3">
      <c r="A49" t="s">
        <v>66</v>
      </c>
      <c r="B49" t="s">
        <v>68</v>
      </c>
      <c r="C49">
        <v>4</v>
      </c>
      <c r="D49" t="s">
        <v>98</v>
      </c>
      <c r="E49" t="s">
        <v>95</v>
      </c>
      <c r="F49" t="s">
        <v>86</v>
      </c>
      <c r="G49">
        <v>14</v>
      </c>
      <c r="H49">
        <v>0</v>
      </c>
      <c r="I49" t="str">
        <f>OutputTable[[#This Row],[ProjectName]]&amp;OutputTable[[#This Row],[Name]]&amp;OutputTable[[#This Row],[Type]]&amp;OutputTable[[#This Row],[Source]]</f>
        <v>Unnamed ProjectOPERADOR_LIXADEIRA.NumberSeizedTotal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10</v>
      </c>
      <c r="K49" cm="1">
        <f t="array" ref="K49">IFERROR(AVERAGE(IF((OutputTable[GroupByKey]=OutputTable[[#This Row],[GroupByKey]]),(OutputTable[GroupByKey]=OutputTable[[#This Row],[GroupByKey]])*OutputTable[RecordedValue])),0)</f>
        <v>13.4</v>
      </c>
      <c r="L49" cm="1">
        <f t="array" ref="L49">IFERROR(_xlfn.STDEV.S(IF((OutputTable[GroupByKey]=OutputTable[[#This Row],[GroupByKey]]),(OutputTable[GroupByKey]=OutputTable[[#This Row],[GroupByKey]])*OutputTable[RecordedValue])),0)</f>
        <v>2.1186998109427626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1.5156265414366468</v>
      </c>
      <c r="O49" cm="1">
        <f t="array" ref="O49">MIN(IF((OutputTable[GroupByKey]=OutputTable[[#This Row],[GroupByKey]]),(OutputTable[GroupByKey]=OutputTable[[#This Row],[GroupByKey]])*OutputTable[RecordedValue]))</f>
        <v>11</v>
      </c>
      <c r="P49" cm="1">
        <f t="array" ref="P49">MAX(IF((OutputTable[GroupByKey]=OutputTable[[#This Row],[GroupByKey]]),(OutputTable[GroupByKey]=OutputTable[[#This Row],[GroupByKey]])*OutputTable[RecordedValue]))</f>
        <v>18</v>
      </c>
    </row>
    <row r="50" spans="1:16" x14ac:dyDescent="0.3">
      <c r="A50" t="s">
        <v>66</v>
      </c>
      <c r="B50" t="s">
        <v>68</v>
      </c>
      <c r="C50">
        <v>4</v>
      </c>
      <c r="D50" t="s">
        <v>99</v>
      </c>
      <c r="E50" t="s">
        <v>97</v>
      </c>
      <c r="F50" t="s">
        <v>86</v>
      </c>
      <c r="G50">
        <v>0.69758427425955605</v>
      </c>
      <c r="H50">
        <v>0</v>
      </c>
      <c r="I50" t="str">
        <f>OutputTable[[#This Row],[ProjectName]]&amp;OutputTable[[#This Row],[Name]]&amp;OutputTable[[#This Row],[Type]]&amp;OutputTable[[#This Row],[Source]]</f>
        <v>Unnamed ProjectOPERADOR_LIXADEIRA.ScheduledUtilizationScheduled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10</v>
      </c>
      <c r="K50" cm="1">
        <f t="array" ref="K50">IFERROR(AVERAGE(IF((OutputTable[GroupByKey]=OutputTable[[#This Row],[GroupByKey]]),(OutputTable[GroupByKey]=OutputTable[[#This Row],[GroupByKey]])*OutputTable[RecordedValue])),0)</f>
        <v>0.61388612230942741</v>
      </c>
      <c r="L50" cm="1">
        <f t="array" ref="L50">IFERROR(_xlfn.STDEV.S(IF((OutputTable[GroupByKey]=OutputTable[[#This Row],[GroupByKey]]),(OutputTable[GroupByKey]=OutputTable[[#This Row],[GroupByKey]])*OutputTable[RecordedValue])),0)</f>
        <v>0.11265505672935852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8.0588572823863613E-2</v>
      </c>
      <c r="O50" cm="1">
        <f t="array" ref="O50">MIN(IF((OutputTable[GroupByKey]=OutputTable[[#This Row],[GroupByKey]]),(OutputTable[GroupByKey]=OutputTable[[#This Row],[GroupByKey]])*OutputTable[RecordedValue]))</f>
        <v>0.48262851817987601</v>
      </c>
      <c r="P50" cm="1">
        <f t="array" ref="P50">MAX(IF((OutputTable[GroupByKey]=OutputTable[[#This Row],[GroupByKey]]),(OutputTable[GroupByKey]=OutputTable[[#This Row],[GroupByKey]])*OutputTable[RecordedValue]))</f>
        <v>0.85064625227951796</v>
      </c>
    </row>
    <row r="51" spans="1:16" x14ac:dyDescent="0.3">
      <c r="A51" t="s">
        <v>66</v>
      </c>
      <c r="B51" t="s">
        <v>68</v>
      </c>
      <c r="C51">
        <v>4</v>
      </c>
      <c r="D51" t="s">
        <v>100</v>
      </c>
      <c r="E51" t="s">
        <v>95</v>
      </c>
      <c r="F51" t="s">
        <v>86</v>
      </c>
      <c r="G51">
        <v>16</v>
      </c>
      <c r="H51">
        <v>0</v>
      </c>
      <c r="I51" t="str">
        <f>OutputTable[[#This Row],[ProjectName]]&amp;OutputTable[[#This Row],[Name]]&amp;OutputTable[[#This Row],[Type]]&amp;OutputTable[[#This Row],[Source]]</f>
        <v>Unnamed ProjectOPERADOR_TORNO.NumberSeizedTotal Number SeizedResource</v>
      </c>
      <c r="J51" cm="1">
        <f t="array" ref="J51">MAX(IF((ProjectInfoTable[ProjectName]=OutputTable[[#This Row],[ProjectName]]),(ProjectInfoTable[ProjectName]=OutputTable[[#This Row],[ProjectName]])*ProjectInfoTable[NumberOfReplications]))</f>
        <v>10</v>
      </c>
      <c r="K51" cm="1">
        <f t="array" ref="K51">IFERROR(AVERAGE(IF((OutputTable[GroupByKey]=OutputTable[[#This Row],[GroupByKey]]),(OutputTable[GroupByKey]=OutputTable[[#This Row],[GroupByKey]])*OutputTable[RecordedValue])),0)</f>
        <v>15.6</v>
      </c>
      <c r="L51" cm="1">
        <f t="array" ref="L51">IFERROR(_xlfn.STDEV.S(IF((OutputTable[GroupByKey]=OutputTable[[#This Row],[GroupByKey]]),(OutputTable[GroupByKey]=OutputTable[[#This Row],[GroupByKey]])*OutputTable[RecordedValue])),0)</f>
        <v>2.716206504995117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1.9430570813906995</v>
      </c>
      <c r="O51" cm="1">
        <f t="array" ref="O51">MIN(IF((OutputTable[GroupByKey]=OutputTable[[#This Row],[GroupByKey]]),(OutputTable[GroupByKey]=OutputTable[[#This Row],[GroupByKey]])*OutputTable[RecordedValue]))</f>
        <v>10</v>
      </c>
      <c r="P51" cm="1">
        <f t="array" ref="P51">MAX(IF((OutputTable[GroupByKey]=OutputTable[[#This Row],[GroupByKey]]),(OutputTable[GroupByKey]=OutputTable[[#This Row],[GroupByKey]])*OutputTable[RecordedValue]))</f>
        <v>19</v>
      </c>
    </row>
    <row r="52" spans="1:16" x14ac:dyDescent="0.3">
      <c r="A52" t="s">
        <v>66</v>
      </c>
      <c r="B52" t="s">
        <v>68</v>
      </c>
      <c r="C52">
        <v>4</v>
      </c>
      <c r="D52" t="s">
        <v>101</v>
      </c>
      <c r="E52" t="s">
        <v>97</v>
      </c>
      <c r="F52" t="s">
        <v>86</v>
      </c>
      <c r="G52">
        <v>0.83254347548485497</v>
      </c>
      <c r="H52">
        <v>0</v>
      </c>
      <c r="I52" t="str">
        <f>OutputTable[[#This Row],[ProjectName]]&amp;OutputTable[[#This Row],[Name]]&amp;OutputTable[[#This Row],[Type]]&amp;OutputTable[[#This Row],[Source]]</f>
        <v>Unnamed ProjectOPERADOR_TORNO.ScheduledUtilizationScheduled UtilizationResource</v>
      </c>
      <c r="J52" cm="1">
        <f t="array" ref="J52">MAX(IF((ProjectInfoTable[ProjectName]=OutputTable[[#This Row],[ProjectName]]),(ProjectInfoTable[ProjectName]=OutputTable[[#This Row],[ProjectName]])*ProjectInfoTable[NumberOfReplications]))</f>
        <v>10</v>
      </c>
      <c r="K52" cm="1">
        <f t="array" ref="K52">IFERROR(AVERAGE(IF((OutputTable[GroupByKey]=OutputTable[[#This Row],[GroupByKey]]),(OutputTable[GroupByKey]=OutputTable[[#This Row],[GroupByKey]])*OutputTable[RecordedValue])),0)</f>
        <v>0.82376875514414072</v>
      </c>
      <c r="L52" cm="1">
        <f t="array" ref="L52">IFERROR(_xlfn.STDEV.S(IF((OutputTable[GroupByKey]=OutputTable[[#This Row],[GroupByKey]]),(OutputTable[GroupByKey]=OutputTable[[#This Row],[GroupByKey]])*OutputTable[RecordedValue])),0)</f>
        <v>0.13969928470385456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9.9934848072064403E-2</v>
      </c>
      <c r="O52" cm="1">
        <f t="array" ref="O52">MIN(IF((OutputTable[GroupByKey]=OutputTable[[#This Row],[GroupByKey]]),(OutputTable[GroupByKey]=OutputTable[[#This Row],[GroupByKey]])*OutputTable[RecordedValue]))</f>
        <v>0.51379543219592505</v>
      </c>
      <c r="P52" cm="1">
        <f t="array" ref="P52">MAX(IF((OutputTable[GroupByKey]=OutputTable[[#This Row],[GroupByKey]]),(OutputTable[GroupByKey]=OutputTable[[#This Row],[GroupByKey]])*OutputTable[RecordedValue]))</f>
        <v>0.98397972672724299</v>
      </c>
    </row>
    <row r="53" spans="1:16" x14ac:dyDescent="0.3">
      <c r="A53" t="s">
        <v>66</v>
      </c>
      <c r="B53" t="s">
        <v>68</v>
      </c>
      <c r="C53">
        <v>4</v>
      </c>
      <c r="D53" t="s">
        <v>102</v>
      </c>
      <c r="E53" t="s">
        <v>103</v>
      </c>
      <c r="F53" t="s">
        <v>71</v>
      </c>
      <c r="G53">
        <v>30</v>
      </c>
      <c r="H53">
        <v>0</v>
      </c>
      <c r="I53" t="str">
        <f>OutputTable[[#This Row],[ProjectName]]&amp;OutputTable[[#This Row],[Name]]&amp;OutputTable[[#This Row],[Type]]&amp;OutputTable[[#This Row],[Source]]</f>
        <v>Unnamed ProjectPECA.NumberInNumber InEntity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10</v>
      </c>
      <c r="K53" cm="1">
        <f t="array" ref="K53">IFERROR(AVERAGE(IF((OutputTable[GroupByKey]=OutputTable[[#This Row],[GroupByKey]]),(OutputTable[GroupByKey]=OutputTable[[#This Row],[GroupByKey]])*OutputTable[RecordedValue])),0)</f>
        <v>29.9</v>
      </c>
      <c r="L53" cm="1">
        <f t="array" ref="L53">IFERROR(_xlfn.STDEV.S(IF((OutputTable[GroupByKey]=OutputTable[[#This Row],[GroupByKey]]),(OutputTable[GroupByKey]=OutputTable[[#This Row],[GroupByKey]])*OutputTable[RecordedValue])),0)</f>
        <v>6.4195880795508264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53" cm="1">
        <f t="array" ref="O53">MIN(IF((OutputTable[GroupByKey]=OutputTable[[#This Row],[GroupByKey]]),(OutputTable[GroupByKey]=OutputTable[[#This Row],[GroupByKey]])*OutputTable[RecordedValue]))</f>
        <v>20</v>
      </c>
      <c r="P53" cm="1">
        <f t="array" ref="P53">MAX(IF((OutputTable[GroupByKey]=OutputTable[[#This Row],[GroupByKey]]),(OutputTable[GroupByKey]=OutputTable[[#This Row],[GroupByKey]])*OutputTable[RecordedValue]))</f>
        <v>41</v>
      </c>
    </row>
    <row r="54" spans="1:16" x14ac:dyDescent="0.3">
      <c r="A54" t="s">
        <v>66</v>
      </c>
      <c r="B54" t="s">
        <v>68</v>
      </c>
      <c r="C54">
        <v>4</v>
      </c>
      <c r="D54" t="s">
        <v>104</v>
      </c>
      <c r="E54" t="s">
        <v>105</v>
      </c>
      <c r="F54" t="s">
        <v>71</v>
      </c>
      <c r="G54">
        <v>30</v>
      </c>
      <c r="H54">
        <v>0</v>
      </c>
      <c r="I54" t="str">
        <f>OutputTable[[#This Row],[ProjectName]]&amp;OutputTable[[#This Row],[Name]]&amp;OutputTable[[#This Row],[Type]]&amp;OutputTable[[#This Row],[Source]]</f>
        <v>Unnamed ProjectPECA.NumberOutNumber OutEntity</v>
      </c>
      <c r="J54" cm="1">
        <f t="array" ref="J54">MAX(IF((ProjectInfoTable[ProjectName]=OutputTable[[#This Row],[ProjectName]]),(ProjectInfoTable[ProjectName]=OutputTable[[#This Row],[ProjectName]])*ProjectInfoTable[NumberOfReplications]))</f>
        <v>10</v>
      </c>
      <c r="K54" cm="1">
        <f t="array" ref="K54">IFERROR(AVERAGE(IF((OutputTable[GroupByKey]=OutputTable[[#This Row],[GroupByKey]]),(OutputTable[GroupByKey]=OutputTable[[#This Row],[GroupByKey]])*OutputTable[RecordedValue])),0)</f>
        <v>29.9</v>
      </c>
      <c r="L54" cm="1">
        <f t="array" ref="L54">IFERROR(_xlfn.STDEV.S(IF((OutputTable[GroupByKey]=OutputTable[[#This Row],[GroupByKey]]),(OutputTable[GroupByKey]=OutputTable[[#This Row],[GroupByKey]])*OutputTable[RecordedValue])),0)</f>
        <v>6.4195880795508264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54" cm="1">
        <f t="array" ref="O54">MIN(IF((OutputTable[GroupByKey]=OutputTable[[#This Row],[GroupByKey]]),(OutputTable[GroupByKey]=OutputTable[[#This Row],[GroupByKey]])*OutputTable[RecordedValue]))</f>
        <v>20</v>
      </c>
      <c r="P54" cm="1">
        <f t="array" ref="P54">MAX(IF((OutputTable[GroupByKey]=OutputTable[[#This Row],[GroupByKey]]),(OutputTable[GroupByKey]=OutputTable[[#This Row],[GroupByKey]])*OutputTable[RecordedValue]))</f>
        <v>41</v>
      </c>
    </row>
    <row r="55" spans="1:16" x14ac:dyDescent="0.3">
      <c r="A55" t="s">
        <v>66</v>
      </c>
      <c r="B55" t="s">
        <v>68</v>
      </c>
      <c r="C55">
        <v>4</v>
      </c>
      <c r="D55" t="s">
        <v>106</v>
      </c>
      <c r="E55" t="s">
        <v>103</v>
      </c>
      <c r="F55" t="s">
        <v>71</v>
      </c>
      <c r="G55">
        <v>15</v>
      </c>
      <c r="H55">
        <v>0</v>
      </c>
      <c r="I55" t="str">
        <f>OutputTable[[#This Row],[ProjectName]]&amp;OutputTable[[#This Row],[Name]]&amp;OutputTable[[#This Row],[Type]]&amp;OutputTable[[#This Row],[Source]]</f>
        <v>Unnamed ProjectPICTURE_AZUL.NumberInNumber InEntity</v>
      </c>
      <c r="J55" cm="1">
        <f t="array" ref="J55">MAX(IF((ProjectInfoTable[ProjectName]=OutputTable[[#This Row],[ProjectName]]),(ProjectInfoTable[ProjectName]=OutputTable[[#This Row],[ProjectName]])*ProjectInfoTable[NumberOfReplications]))</f>
        <v>10</v>
      </c>
      <c r="K55" cm="1">
        <f t="array" ref="K55">IFERROR(AVERAGE(IF((OutputTable[GroupByKey]=OutputTable[[#This Row],[GroupByKey]]),(OutputTable[GroupByKey]=OutputTable[[#This Row],[GroupByKey]])*OutputTable[RecordedValue])),0)</f>
        <v>13.3</v>
      </c>
      <c r="L55" cm="1">
        <f t="array" ref="L55">IFERROR(_xlfn.STDEV.S(IF((OutputTable[GroupByKey]=OutputTable[[#This Row],[GroupByKey]]),(OutputTable[GroupByKey]=OutputTable[[#This Row],[GroupByKey]])*OutputTable[RecordedValue])),0)</f>
        <v>4.2700507413066324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3.0546102866388556</v>
      </c>
      <c r="O55" cm="1">
        <f t="array" ref="O55">MIN(IF((OutputTable[GroupByKey]=OutputTable[[#This Row],[GroupByKey]]),(OutputTable[GroupByKey]=OutputTable[[#This Row],[GroupByKey]])*OutputTable[RecordedValue]))</f>
        <v>7</v>
      </c>
      <c r="P55" cm="1">
        <f t="array" ref="P55">MAX(IF((OutputTable[GroupByKey]=OutputTable[[#This Row],[GroupByKey]]),(OutputTable[GroupByKey]=OutputTable[[#This Row],[GroupByKey]])*OutputTable[RecordedValue]))</f>
        <v>20</v>
      </c>
    </row>
    <row r="56" spans="1:16" x14ac:dyDescent="0.3">
      <c r="A56" t="s">
        <v>66</v>
      </c>
      <c r="B56" t="s">
        <v>68</v>
      </c>
      <c r="C56">
        <v>4</v>
      </c>
      <c r="D56" t="s">
        <v>107</v>
      </c>
      <c r="E56" t="s">
        <v>105</v>
      </c>
      <c r="F56" t="s">
        <v>71</v>
      </c>
      <c r="G56">
        <v>12</v>
      </c>
      <c r="H56">
        <v>0</v>
      </c>
      <c r="I56" t="str">
        <f>OutputTable[[#This Row],[ProjectName]]&amp;OutputTable[[#This Row],[Name]]&amp;OutputTable[[#This Row],[Type]]&amp;OutputTable[[#This Row],[Source]]</f>
        <v>Unnamed ProjectPICTURE_AZUL.NumberOutNumber OutEntity</v>
      </c>
      <c r="J56" cm="1">
        <f t="array" ref="J56">MAX(IF((ProjectInfoTable[ProjectName]=OutputTable[[#This Row],[ProjectName]]),(ProjectInfoTable[ProjectName]=OutputTable[[#This Row],[ProjectName]])*ProjectInfoTable[NumberOfReplications]))</f>
        <v>10</v>
      </c>
      <c r="K56" cm="1">
        <f t="array" ref="K56">IFERROR(AVERAGE(IF((OutputTable[GroupByKey]=OutputTable[[#This Row],[GroupByKey]]),(OutputTable[GroupByKey]=OutputTable[[#This Row],[GroupByKey]])*OutputTable[RecordedValue])),0)</f>
        <v>10.6</v>
      </c>
      <c r="L56" cm="1">
        <f t="array" ref="L56">IFERROR(_xlfn.STDEV.S(IF((OutputTable[GroupByKey]=OutputTable[[#This Row],[GroupByKey]]),(OutputTable[GroupByKey]=OutputTable[[#This Row],[GroupByKey]])*OutputTable[RecordedValue])),0)</f>
        <v>2.2705848487901892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1.6242785521744192</v>
      </c>
      <c r="O56" cm="1">
        <f t="array" ref="O56">MIN(IF((OutputTable[GroupByKey]=OutputTable[[#This Row],[GroupByKey]]),(OutputTable[GroupByKey]=OutputTable[[#This Row],[GroupByKey]])*OutputTable[RecordedValue]))</f>
        <v>6</v>
      </c>
      <c r="P56" cm="1">
        <f t="array" ref="P56">MAX(IF((OutputTable[GroupByKey]=OutputTable[[#This Row],[GroupByKey]]),(OutputTable[GroupByKey]=OutputTable[[#This Row],[GroupByKey]])*OutputTable[RecordedValue]))</f>
        <v>13</v>
      </c>
    </row>
    <row r="57" spans="1:16" x14ac:dyDescent="0.3">
      <c r="A57" t="s">
        <v>66</v>
      </c>
      <c r="B57" t="s">
        <v>68</v>
      </c>
      <c r="C57">
        <v>4</v>
      </c>
      <c r="D57" t="s">
        <v>108</v>
      </c>
      <c r="E57" t="s">
        <v>103</v>
      </c>
      <c r="F57" t="s">
        <v>71</v>
      </c>
      <c r="G57">
        <v>12</v>
      </c>
      <c r="H57">
        <v>0</v>
      </c>
      <c r="I57" t="str">
        <f>OutputTable[[#This Row],[ProjectName]]&amp;OutputTable[[#This Row],[Name]]&amp;OutputTable[[#This Row],[Type]]&amp;OutputTable[[#This Row],[Source]]</f>
        <v>Unnamed ProjectPICTURE_VERDE.NumberInNumber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10</v>
      </c>
      <c r="K57" cm="1">
        <f t="array" ref="K57">IFERROR(AVERAGE(IF((OutputTable[GroupByKey]=OutputTable[[#This Row],[GroupByKey]]),(OutputTable[GroupByKey]=OutputTable[[#This Row],[GroupByKey]])*OutputTable[RecordedValue])),0)</f>
        <v>11.1</v>
      </c>
      <c r="L57" cm="1">
        <f t="array" ref="L57">IFERROR(_xlfn.STDEV.S(IF((OutputTable[GroupByKey]=OutputTable[[#This Row],[GroupByKey]]),(OutputTable[GroupByKey]=OutputTable[[#This Row],[GroupByKey]])*OutputTable[RecordedValue])),0)</f>
        <v>2.726414006223806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1.9503590878873462</v>
      </c>
      <c r="O57" cm="1">
        <f t="array" ref="O57">MIN(IF((OutputTable[GroupByKey]=OutputTable[[#This Row],[GroupByKey]]),(OutputTable[GroupByKey]=OutputTable[[#This Row],[GroupByKey]])*OutputTable[RecordedValue]))</f>
        <v>8</v>
      </c>
      <c r="P57" cm="1">
        <f t="array" ref="P57">MAX(IF((OutputTable[GroupByKey]=OutputTable[[#This Row],[GroupByKey]]),(OutputTable[GroupByKey]=OutputTable[[#This Row],[GroupByKey]])*OutputTable[RecordedValue]))</f>
        <v>16</v>
      </c>
    </row>
    <row r="58" spans="1:16" x14ac:dyDescent="0.3">
      <c r="A58" t="s">
        <v>66</v>
      </c>
      <c r="B58" t="s">
        <v>68</v>
      </c>
      <c r="C58">
        <v>4</v>
      </c>
      <c r="D58" t="s">
        <v>109</v>
      </c>
      <c r="E58" t="s">
        <v>105</v>
      </c>
      <c r="F58" t="s">
        <v>71</v>
      </c>
      <c r="G58">
        <v>11</v>
      </c>
      <c r="H58">
        <v>0</v>
      </c>
      <c r="I58" t="str">
        <f>OutputTable[[#This Row],[ProjectName]]&amp;OutputTable[[#This Row],[Name]]&amp;OutputTable[[#This Row],[Type]]&amp;OutputTable[[#This Row],[Source]]</f>
        <v>Unnamed ProjectPICTURE_VERDE.NumberOutNumber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10</v>
      </c>
      <c r="K58" cm="1">
        <f t="array" ref="K58">IFERROR(AVERAGE(IF((OutputTable[GroupByKey]=OutputTable[[#This Row],[GroupByKey]]),(OutputTable[GroupByKey]=OutputTable[[#This Row],[GroupByKey]])*OutputTable[RecordedValue])),0)</f>
        <v>8.9</v>
      </c>
      <c r="L58" cm="1">
        <f t="array" ref="L58">IFERROR(_xlfn.STDEV.S(IF((OutputTable[GroupByKey]=OutputTable[[#This Row],[GroupByKey]]),(OutputTable[GroupByKey]=OutputTable[[#This Row],[GroupByKey]])*OutputTable[RecordedValue])),0)</f>
        <v>2.4244128727957572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1.7343204914786237</v>
      </c>
      <c r="O58" cm="1">
        <f t="array" ref="O58">MIN(IF((OutputTable[GroupByKey]=OutputTable[[#This Row],[GroupByKey]]),(OutputTable[GroupByKey]=OutputTable[[#This Row],[GroupByKey]])*OutputTable[RecordedValue]))</f>
        <v>6</v>
      </c>
      <c r="P58" cm="1">
        <f t="array" ref="P58">MAX(IF((OutputTable[GroupByKey]=OutputTable[[#This Row],[GroupByKey]]),(OutputTable[GroupByKey]=OutputTable[[#This Row],[GroupByKey]])*OutputTable[RecordedValue]))</f>
        <v>14</v>
      </c>
    </row>
    <row r="59" spans="1:16" x14ac:dyDescent="0.3">
      <c r="A59" t="s">
        <v>66</v>
      </c>
      <c r="B59" t="s">
        <v>68</v>
      </c>
      <c r="C59">
        <v>4</v>
      </c>
      <c r="D59" t="s">
        <v>110</v>
      </c>
      <c r="E59" t="s">
        <v>103</v>
      </c>
      <c r="F59" t="s">
        <v>71</v>
      </c>
      <c r="G59">
        <v>3</v>
      </c>
      <c r="H59">
        <v>0</v>
      </c>
      <c r="I59" t="str">
        <f>OutputTable[[#This Row],[ProjectName]]&amp;OutputTable[[#This Row],[Name]]&amp;OutputTable[[#This Row],[Type]]&amp;OutputTable[[#This Row],[Source]]</f>
        <v>Unnamed ProjectPICTURE_VERMELHO.NumberInNumber InEntity</v>
      </c>
      <c r="J59" cm="1">
        <f t="array" ref="J59">MAX(IF((ProjectInfoTable[ProjectName]=OutputTable[[#This Row],[ProjectName]]),(ProjectInfoTable[ProjectName]=OutputTable[[#This Row],[ProjectName]])*ProjectInfoTable[NumberOfReplications]))</f>
        <v>10</v>
      </c>
      <c r="K59" cm="1">
        <f t="array" ref="K59">IFERROR(AVERAGE(IF((OutputTable[GroupByKey]=OutputTable[[#This Row],[GroupByKey]]),(OutputTable[GroupByKey]=OutputTable[[#This Row],[GroupByKey]])*OutputTable[RecordedValue])),0)</f>
        <v>5.5</v>
      </c>
      <c r="L59" cm="1">
        <f t="array" ref="L59">IFERROR(_xlfn.STDEV.S(IF((OutputTable[GroupByKey]=OutputTable[[#This Row],[GroupByKey]]),(OutputTable[GroupByKey]=OutputTable[[#This Row],[GroupByKey]])*OutputTable[RecordedValue])),0)</f>
        <v>2.0138409955990952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1.4406150637286517</v>
      </c>
      <c r="O59" cm="1">
        <f t="array" ref="O59">MIN(IF((OutputTable[GroupByKey]=OutputTable[[#This Row],[GroupByKey]]),(OutputTable[GroupByKey]=OutputTable[[#This Row],[GroupByKey]])*OutputTable[RecordedValue]))</f>
        <v>3</v>
      </c>
      <c r="P59" cm="1">
        <f t="array" ref="P59">MAX(IF((OutputTable[GroupByKey]=OutputTable[[#This Row],[GroupByKey]]),(OutputTable[GroupByKey]=OutputTable[[#This Row],[GroupByKey]])*OutputTable[RecordedValue]))</f>
        <v>9</v>
      </c>
    </row>
    <row r="60" spans="1:16" x14ac:dyDescent="0.3">
      <c r="A60" t="s">
        <v>66</v>
      </c>
      <c r="B60" t="s">
        <v>68</v>
      </c>
      <c r="C60">
        <v>4</v>
      </c>
      <c r="D60" t="s">
        <v>111</v>
      </c>
      <c r="E60" t="s">
        <v>105</v>
      </c>
      <c r="F60" t="s">
        <v>71</v>
      </c>
      <c r="G60">
        <v>3</v>
      </c>
      <c r="H60">
        <v>0</v>
      </c>
      <c r="I60" t="str">
        <f>OutputTable[[#This Row],[ProjectName]]&amp;OutputTable[[#This Row],[Name]]&amp;OutputTable[[#This Row],[Type]]&amp;OutputTable[[#This Row],[Source]]</f>
        <v>Unnamed ProjectPICTURE_VERMELHO.NumberOutNumber OutEntity</v>
      </c>
      <c r="J60" cm="1">
        <f t="array" ref="J60">MAX(IF((ProjectInfoTable[ProjectName]=OutputTable[[#This Row],[ProjectName]]),(ProjectInfoTable[ProjectName]=OutputTable[[#This Row],[ProjectName]])*ProjectInfoTable[NumberOfReplications]))</f>
        <v>10</v>
      </c>
      <c r="K60" cm="1">
        <f t="array" ref="K60">IFERROR(AVERAGE(IF((OutputTable[GroupByKey]=OutputTable[[#This Row],[GroupByKey]]),(OutputTable[GroupByKey]=OutputTable[[#This Row],[GroupByKey]])*OutputTable[RecordedValue])),0)</f>
        <v>3.6</v>
      </c>
      <c r="L60" cm="1">
        <f t="array" ref="L60">IFERROR(_xlfn.STDEV.S(IF((OutputTable[GroupByKey]=OutputTable[[#This Row],[GroupByKey]]),(OutputTable[GroupByKey]=OutputTable[[#This Row],[GroupByKey]])*OutputTable[RecordedValue])),0)</f>
        <v>0.84327404271156814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0.60324191007952155</v>
      </c>
      <c r="O60" cm="1">
        <f t="array" ref="O60">MIN(IF((OutputTable[GroupByKey]=OutputTable[[#This Row],[GroupByKey]]),(OutputTable[GroupByKey]=OutputTable[[#This Row],[GroupByKey]])*OutputTable[RecordedValue]))</f>
        <v>3</v>
      </c>
      <c r="P60" cm="1">
        <f t="array" ref="P60">MAX(IF((OutputTable[GroupByKey]=OutputTable[[#This Row],[GroupByKey]]),(OutputTable[GroupByKey]=OutputTable[[#This Row],[GroupByKey]])*OutputTable[RecordedValue]))</f>
        <v>5</v>
      </c>
    </row>
    <row r="61" spans="1:16" x14ac:dyDescent="0.3">
      <c r="A61" t="s">
        <v>66</v>
      </c>
      <c r="B61" t="s">
        <v>68</v>
      </c>
      <c r="C61">
        <v>4</v>
      </c>
      <c r="D61" t="s">
        <v>112</v>
      </c>
      <c r="E61" t="s">
        <v>105</v>
      </c>
      <c r="F61" t="s">
        <v>113</v>
      </c>
      <c r="G61">
        <v>26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10</v>
      </c>
      <c r="K61" cm="1">
        <f t="array" ref="K61">IFERROR(AVERAGE(IF((OutputTable[GroupByKey]=OutputTable[[#This Row],[GroupByKey]]),(OutputTable[GroupByKey]=OutputTable[[#This Row],[GroupByKey]])*OutputTable[RecordedValue])),0)</f>
        <v>23.1</v>
      </c>
      <c r="L61" cm="1">
        <f t="array" ref="L61">IFERROR(_xlfn.STDEV.S(IF((OutputTable[GroupByKey]=OutputTable[[#This Row],[GroupByKey]]),(OutputTable[GroupByKey]=OutputTable[[#This Row],[GroupByKey]])*OutputTable[RecordedValue])),0)</f>
        <v>3.4785054261852113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2.4883728790780211</v>
      </c>
      <c r="O61" cm="1">
        <f t="array" ref="O61">MIN(IF((OutputTable[GroupByKey]=OutputTable[[#This Row],[GroupByKey]]),(OutputTable[GroupByKey]=OutputTable[[#This Row],[GroupByKey]])*OutputTable[RecordedValue]))</f>
        <v>17</v>
      </c>
      <c r="P61" cm="1">
        <f t="array" ref="P61">MAX(IF((OutputTable[GroupByKey]=OutputTable[[#This Row],[GroupByKey]]),(OutputTable[GroupByKey]=OutputTable[[#This Row],[GroupByKey]])*OutputTable[RecordedValue]))</f>
        <v>28</v>
      </c>
    </row>
    <row r="62" spans="1:16" x14ac:dyDescent="0.3">
      <c r="A62" t="s">
        <v>66</v>
      </c>
      <c r="B62" t="s">
        <v>68</v>
      </c>
      <c r="C62">
        <v>5</v>
      </c>
      <c r="D62" t="s">
        <v>94</v>
      </c>
      <c r="E62" t="s">
        <v>95</v>
      </c>
      <c r="F62" t="s">
        <v>86</v>
      </c>
      <c r="G62">
        <v>17</v>
      </c>
      <c r="H62">
        <v>0</v>
      </c>
      <c r="I62" t="str">
        <f>OutputTable[[#This Row],[ProjectName]]&amp;OutputTable[[#This Row],[Name]]&amp;OutputTable[[#This Row],[Type]]&amp;OutputTable[[#This Row],[Source]]</f>
        <v>Unnamed ProjectOPERADOR_CORTE.NumberSeizedTotal Number SeizedResource</v>
      </c>
      <c r="J62" cm="1">
        <f t="array" ref="J62">MAX(IF((ProjectInfoTable[ProjectName]=OutputTable[[#This Row],[ProjectName]]),(ProjectInfoTable[ProjectName]=OutputTable[[#This Row],[ProjectName]])*ProjectInfoTable[NumberOfReplications]))</f>
        <v>10</v>
      </c>
      <c r="K62" cm="1">
        <f t="array" ref="K62">IFERROR(AVERAGE(IF((OutputTable[GroupByKey]=OutputTable[[#This Row],[GroupByKey]]),(OutputTable[GroupByKey]=OutputTable[[#This Row],[GroupByKey]])*OutputTable[RecordedValue])),0)</f>
        <v>15.9</v>
      </c>
      <c r="L62" cm="1">
        <f t="array" ref="L62">IFERROR(_xlfn.STDEV.S(IF((OutputTable[GroupByKey]=OutputTable[[#This Row],[GroupByKey]]),(OutputTable[GroupByKey]=OutputTable[[#This Row],[GroupByKey]])*OutputTable[RecordedValue])),0)</f>
        <v>3.247221034122016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2.3229219919723874</v>
      </c>
      <c r="O62" cm="1">
        <f t="array" ref="O62">MIN(IF((OutputTable[GroupByKey]=OutputTable[[#This Row],[GroupByKey]]),(OutputTable[GroupByKey]=OutputTable[[#This Row],[GroupByKey]])*OutputTable[RecordedValue]))</f>
        <v>12</v>
      </c>
      <c r="P62" cm="1">
        <f t="array" ref="P62">MAX(IF((OutputTable[GroupByKey]=OutputTable[[#This Row],[GroupByKey]]),(OutputTable[GroupByKey]=OutputTable[[#This Row],[GroupByKey]])*OutputTable[RecordedValue]))</f>
        <v>21</v>
      </c>
    </row>
    <row r="63" spans="1:16" x14ac:dyDescent="0.3">
      <c r="A63" t="s">
        <v>66</v>
      </c>
      <c r="B63" t="s">
        <v>68</v>
      </c>
      <c r="C63">
        <v>5</v>
      </c>
      <c r="D63" t="s">
        <v>96</v>
      </c>
      <c r="E63" t="s">
        <v>97</v>
      </c>
      <c r="F63" t="s">
        <v>86</v>
      </c>
      <c r="G63">
        <v>0.68255617492868403</v>
      </c>
      <c r="H63">
        <v>0</v>
      </c>
      <c r="I63" t="str">
        <f>OutputTable[[#This Row],[ProjectName]]&amp;OutputTable[[#This Row],[Name]]&amp;OutputTable[[#This Row],[Type]]&amp;OutputTable[[#This Row],[Source]]</f>
        <v>Unnamed ProjectOPERADOR_CORTE.ScheduledUtilizationScheduled UtilizationResource</v>
      </c>
      <c r="J63" cm="1">
        <f t="array" ref="J63">MAX(IF((ProjectInfoTable[ProjectName]=OutputTable[[#This Row],[ProjectName]]),(ProjectInfoTable[ProjectName]=OutputTable[[#This Row],[ProjectName]])*ProjectInfoTable[NumberOfReplications]))</f>
        <v>10</v>
      </c>
      <c r="K63" cm="1">
        <f t="array" ref="K63">IFERROR(AVERAGE(IF((OutputTable[GroupByKey]=OutputTable[[#This Row],[GroupByKey]]),(OutputTable[GroupByKey]=OutputTable[[#This Row],[GroupByKey]])*OutputTable[RecordedValue])),0)</f>
        <v>0.66328097868598235</v>
      </c>
      <c r="L63" cm="1">
        <f t="array" ref="L63">IFERROR(_xlfn.STDEV.S(IF((OutputTable[GroupByKey]=OutputTable[[#This Row],[GroupByKey]]),(OutputTable[GroupByKey]=OutputTable[[#This Row],[GroupByKey]])*OutputTable[RecordedValue])),0)</f>
        <v>0.13309360211006072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9.5209427409943759E-2</v>
      </c>
      <c r="O63" cm="1">
        <f t="array" ref="O63">MIN(IF((OutputTable[GroupByKey]=OutputTable[[#This Row],[GroupByKey]]),(OutputTable[GroupByKey]=OutputTable[[#This Row],[GroupByKey]])*OutputTable[RecordedValue]))</f>
        <v>0.50548165778050103</v>
      </c>
      <c r="P63" cm="1">
        <f t="array" ref="P63">MAX(IF((OutputTable[GroupByKey]=OutputTable[[#This Row],[GroupByKey]]),(OutputTable[GroupByKey]=OutputTable[[#This Row],[GroupByKey]])*OutputTable[RecordedValue]))</f>
        <v>0.90373198712706704</v>
      </c>
    </row>
    <row r="64" spans="1:16" x14ac:dyDescent="0.3">
      <c r="A64" t="s">
        <v>66</v>
      </c>
      <c r="B64" t="s">
        <v>68</v>
      </c>
      <c r="C64">
        <v>5</v>
      </c>
      <c r="D64" t="s">
        <v>98</v>
      </c>
      <c r="E64" t="s">
        <v>95</v>
      </c>
      <c r="F64" t="s">
        <v>86</v>
      </c>
      <c r="G64">
        <v>14</v>
      </c>
      <c r="H64">
        <v>0</v>
      </c>
      <c r="I64" t="str">
        <f>OutputTable[[#This Row],[ProjectName]]&amp;OutputTable[[#This Row],[Name]]&amp;OutputTable[[#This Row],[Type]]&amp;OutputTable[[#This Row],[Source]]</f>
        <v>Unnamed ProjectOPERADOR_LIXADEIRA.NumberSeizedTotal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10</v>
      </c>
      <c r="K64" cm="1">
        <f t="array" ref="K64">IFERROR(AVERAGE(IF((OutputTable[GroupByKey]=OutputTable[[#This Row],[GroupByKey]]),(OutputTable[GroupByKey]=OutputTable[[#This Row],[GroupByKey]])*OutputTable[RecordedValue])),0)</f>
        <v>13.4</v>
      </c>
      <c r="L64" cm="1">
        <f t="array" ref="L64">IFERROR(_xlfn.STDEV.S(IF((OutputTable[GroupByKey]=OutputTable[[#This Row],[GroupByKey]]),(OutputTable[GroupByKey]=OutputTable[[#This Row],[GroupByKey]])*OutputTable[RecordedValue])),0)</f>
        <v>2.1186998109427626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1.5156265414366468</v>
      </c>
      <c r="O64" cm="1">
        <f t="array" ref="O64">MIN(IF((OutputTable[GroupByKey]=OutputTable[[#This Row],[GroupByKey]]),(OutputTable[GroupByKey]=OutputTable[[#This Row],[GroupByKey]])*OutputTable[RecordedValue]))</f>
        <v>11</v>
      </c>
      <c r="P64" cm="1">
        <f t="array" ref="P64">MAX(IF((OutputTable[GroupByKey]=OutputTable[[#This Row],[GroupByKey]]),(OutputTable[GroupByKey]=OutputTable[[#This Row],[GroupByKey]])*OutputTable[RecordedValue]))</f>
        <v>18</v>
      </c>
    </row>
    <row r="65" spans="1:16" x14ac:dyDescent="0.3">
      <c r="A65" t="s">
        <v>66</v>
      </c>
      <c r="B65" t="s">
        <v>68</v>
      </c>
      <c r="C65">
        <v>5</v>
      </c>
      <c r="D65" t="s">
        <v>99</v>
      </c>
      <c r="E65" t="s">
        <v>97</v>
      </c>
      <c r="F65" t="s">
        <v>86</v>
      </c>
      <c r="G65">
        <v>0.58586692594735201</v>
      </c>
      <c r="H65">
        <v>0</v>
      </c>
      <c r="I65" t="str">
        <f>OutputTable[[#This Row],[ProjectName]]&amp;OutputTable[[#This Row],[Name]]&amp;OutputTable[[#This Row],[Type]]&amp;OutputTable[[#This Row],[Source]]</f>
        <v>Unnamed ProjectOPERADOR_LIXADEIRA.ScheduledUtilizationScheduled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10</v>
      </c>
      <c r="K65" cm="1">
        <f t="array" ref="K65">IFERROR(AVERAGE(IF((OutputTable[GroupByKey]=OutputTable[[#This Row],[GroupByKey]]),(OutputTable[GroupByKey]=OutputTable[[#This Row],[GroupByKey]])*OutputTable[RecordedValue])),0)</f>
        <v>0.61388612230942741</v>
      </c>
      <c r="L65" cm="1">
        <f t="array" ref="L65">IFERROR(_xlfn.STDEV.S(IF((OutputTable[GroupByKey]=OutputTable[[#This Row],[GroupByKey]]),(OutputTable[GroupByKey]=OutputTable[[#This Row],[GroupByKey]])*OutputTable[RecordedValue])),0)</f>
        <v>0.11265505672935852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8.0588572823863613E-2</v>
      </c>
      <c r="O65" cm="1">
        <f t="array" ref="O65">MIN(IF((OutputTable[GroupByKey]=OutputTable[[#This Row],[GroupByKey]]),(OutputTable[GroupByKey]=OutputTable[[#This Row],[GroupByKey]])*OutputTable[RecordedValue]))</f>
        <v>0.48262851817987601</v>
      </c>
      <c r="P65" cm="1">
        <f t="array" ref="P65">MAX(IF((OutputTable[GroupByKey]=OutputTable[[#This Row],[GroupByKey]]),(OutputTable[GroupByKey]=OutputTable[[#This Row],[GroupByKey]])*OutputTable[RecordedValue]))</f>
        <v>0.85064625227951796</v>
      </c>
    </row>
    <row r="66" spans="1:16" x14ac:dyDescent="0.3">
      <c r="A66" t="s">
        <v>66</v>
      </c>
      <c r="B66" t="s">
        <v>68</v>
      </c>
      <c r="C66">
        <v>5</v>
      </c>
      <c r="D66" t="s">
        <v>100</v>
      </c>
      <c r="E66" t="s">
        <v>95</v>
      </c>
      <c r="F66" t="s">
        <v>86</v>
      </c>
      <c r="G66">
        <v>19</v>
      </c>
      <c r="H66">
        <v>0</v>
      </c>
      <c r="I66" t="str">
        <f>OutputTable[[#This Row],[ProjectName]]&amp;OutputTable[[#This Row],[Name]]&amp;OutputTable[[#This Row],[Type]]&amp;OutputTable[[#This Row],[Source]]</f>
        <v>Unnamed ProjectOPERADOR_TORNO.NumberSeizedTotal Number SeizedResource</v>
      </c>
      <c r="J66" cm="1">
        <f t="array" ref="J66">MAX(IF((ProjectInfoTable[ProjectName]=OutputTable[[#This Row],[ProjectName]]),(ProjectInfoTable[ProjectName]=OutputTable[[#This Row],[ProjectName]])*ProjectInfoTable[NumberOfReplications]))</f>
        <v>10</v>
      </c>
      <c r="K66" cm="1">
        <f t="array" ref="K66">IFERROR(AVERAGE(IF((OutputTable[GroupByKey]=OutputTable[[#This Row],[GroupByKey]]),(OutputTable[GroupByKey]=OutputTable[[#This Row],[GroupByKey]])*OutputTable[RecordedValue])),0)</f>
        <v>15.6</v>
      </c>
      <c r="L66" cm="1">
        <f t="array" ref="L66">IFERROR(_xlfn.STDEV.S(IF((OutputTable[GroupByKey]=OutputTable[[#This Row],[GroupByKey]]),(OutputTable[GroupByKey]=OutputTable[[#This Row],[GroupByKey]])*OutputTable[RecordedValue])),0)</f>
        <v>2.716206504995117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1.9430570813906995</v>
      </c>
      <c r="O66" cm="1">
        <f t="array" ref="O66">MIN(IF((OutputTable[GroupByKey]=OutputTable[[#This Row],[GroupByKey]]),(OutputTable[GroupByKey]=OutputTable[[#This Row],[GroupByKey]])*OutputTable[RecordedValue]))</f>
        <v>10</v>
      </c>
      <c r="P66" cm="1">
        <f t="array" ref="P66">MAX(IF((OutputTable[GroupByKey]=OutputTable[[#This Row],[GroupByKey]]),(OutputTable[GroupByKey]=OutputTable[[#This Row],[GroupByKey]])*OutputTable[RecordedValue]))</f>
        <v>19</v>
      </c>
    </row>
    <row r="67" spans="1:16" x14ac:dyDescent="0.3">
      <c r="A67" t="s">
        <v>66</v>
      </c>
      <c r="B67" t="s">
        <v>68</v>
      </c>
      <c r="C67">
        <v>5</v>
      </c>
      <c r="D67" t="s">
        <v>101</v>
      </c>
      <c r="E67" t="s">
        <v>97</v>
      </c>
      <c r="F67" t="s">
        <v>86</v>
      </c>
      <c r="G67">
        <v>0.94296201788507406</v>
      </c>
      <c r="H67">
        <v>0</v>
      </c>
      <c r="I67" t="str">
        <f>OutputTable[[#This Row],[ProjectName]]&amp;OutputTable[[#This Row],[Name]]&amp;OutputTable[[#This Row],[Type]]&amp;OutputTable[[#This Row],[Source]]</f>
        <v>Unnamed ProjectOPERADOR_TORNO.ScheduledUtilizationScheduled UtilizationResource</v>
      </c>
      <c r="J67" cm="1">
        <f t="array" ref="J67">MAX(IF((ProjectInfoTable[ProjectName]=OutputTable[[#This Row],[ProjectName]]),(ProjectInfoTable[ProjectName]=OutputTable[[#This Row],[ProjectName]])*ProjectInfoTable[NumberOfReplications]))</f>
        <v>10</v>
      </c>
      <c r="K67" cm="1">
        <f t="array" ref="K67">IFERROR(AVERAGE(IF((OutputTable[GroupByKey]=OutputTable[[#This Row],[GroupByKey]]),(OutputTable[GroupByKey]=OutputTable[[#This Row],[GroupByKey]])*OutputTable[RecordedValue])),0)</f>
        <v>0.82376875514414072</v>
      </c>
      <c r="L67" cm="1">
        <f t="array" ref="L67">IFERROR(_xlfn.STDEV.S(IF((OutputTable[GroupByKey]=OutputTable[[#This Row],[GroupByKey]]),(OutputTable[GroupByKey]=OutputTable[[#This Row],[GroupByKey]])*OutputTable[RecordedValue])),0)</f>
        <v>0.13969928470385456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9.9934848072064403E-2</v>
      </c>
      <c r="O67" cm="1">
        <f t="array" ref="O67">MIN(IF((OutputTable[GroupByKey]=OutputTable[[#This Row],[GroupByKey]]),(OutputTable[GroupByKey]=OutputTable[[#This Row],[GroupByKey]])*OutputTable[RecordedValue]))</f>
        <v>0.51379543219592505</v>
      </c>
      <c r="P67" cm="1">
        <f t="array" ref="P67">MAX(IF((OutputTable[GroupByKey]=OutputTable[[#This Row],[GroupByKey]]),(OutputTable[GroupByKey]=OutputTable[[#This Row],[GroupByKey]])*OutputTable[RecordedValue]))</f>
        <v>0.98397972672724299</v>
      </c>
    </row>
    <row r="68" spans="1:16" x14ac:dyDescent="0.3">
      <c r="A68" t="s">
        <v>66</v>
      </c>
      <c r="B68" t="s">
        <v>68</v>
      </c>
      <c r="C68">
        <v>5</v>
      </c>
      <c r="D68" t="s">
        <v>102</v>
      </c>
      <c r="E68" t="s">
        <v>103</v>
      </c>
      <c r="F68" t="s">
        <v>71</v>
      </c>
      <c r="G68">
        <v>33</v>
      </c>
      <c r="H68">
        <v>0</v>
      </c>
      <c r="I68" t="str">
        <f>OutputTable[[#This Row],[ProjectName]]&amp;OutputTable[[#This Row],[Name]]&amp;OutputTable[[#This Row],[Type]]&amp;OutputTable[[#This Row],[Source]]</f>
        <v>Unnamed ProjectPECA.NumberInNumber InEntity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10</v>
      </c>
      <c r="K68" cm="1">
        <f t="array" ref="K68">IFERROR(AVERAGE(IF((OutputTable[GroupByKey]=OutputTable[[#This Row],[GroupByKey]]),(OutputTable[GroupByKey]=OutputTable[[#This Row],[GroupByKey]])*OutputTable[RecordedValue])),0)</f>
        <v>29.9</v>
      </c>
      <c r="L68" cm="1">
        <f t="array" ref="L68">IFERROR(_xlfn.STDEV.S(IF((OutputTable[GroupByKey]=OutputTable[[#This Row],[GroupByKey]]),(OutputTable[GroupByKey]=OutputTable[[#This Row],[GroupByKey]])*OutputTable[RecordedValue])),0)</f>
        <v>6.4195880795508264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68" cm="1">
        <f t="array" ref="O68">MIN(IF((OutputTable[GroupByKey]=OutputTable[[#This Row],[GroupByKey]]),(OutputTable[GroupByKey]=OutputTable[[#This Row],[GroupByKey]])*OutputTable[RecordedValue]))</f>
        <v>20</v>
      </c>
      <c r="P68" cm="1">
        <f t="array" ref="P68">MAX(IF((OutputTable[GroupByKey]=OutputTable[[#This Row],[GroupByKey]]),(OutputTable[GroupByKey]=OutputTable[[#This Row],[GroupByKey]])*OutputTable[RecordedValue]))</f>
        <v>41</v>
      </c>
    </row>
    <row r="69" spans="1:16" x14ac:dyDescent="0.3">
      <c r="A69" t="s">
        <v>66</v>
      </c>
      <c r="B69" t="s">
        <v>68</v>
      </c>
      <c r="C69">
        <v>5</v>
      </c>
      <c r="D69" t="s">
        <v>104</v>
      </c>
      <c r="E69" t="s">
        <v>105</v>
      </c>
      <c r="F69" t="s">
        <v>71</v>
      </c>
      <c r="G69">
        <v>33</v>
      </c>
      <c r="H69">
        <v>0</v>
      </c>
      <c r="I69" t="str">
        <f>OutputTable[[#This Row],[ProjectName]]&amp;OutputTable[[#This Row],[Name]]&amp;OutputTable[[#This Row],[Type]]&amp;OutputTable[[#This Row],[Source]]</f>
        <v>Unnamed ProjectPECA.NumberOutNumber OutEntity</v>
      </c>
      <c r="J69" cm="1">
        <f t="array" ref="J69">MAX(IF((ProjectInfoTable[ProjectName]=OutputTable[[#This Row],[ProjectName]]),(ProjectInfoTable[ProjectName]=OutputTable[[#This Row],[ProjectName]])*ProjectInfoTable[NumberOfReplications]))</f>
        <v>10</v>
      </c>
      <c r="K69" cm="1">
        <f t="array" ref="K69">IFERROR(AVERAGE(IF((OutputTable[GroupByKey]=OutputTable[[#This Row],[GroupByKey]]),(OutputTable[GroupByKey]=OutputTable[[#This Row],[GroupByKey]])*OutputTable[RecordedValue])),0)</f>
        <v>29.9</v>
      </c>
      <c r="L69" cm="1">
        <f t="array" ref="L69">IFERROR(_xlfn.STDEV.S(IF((OutputTable[GroupByKey]=OutputTable[[#This Row],[GroupByKey]]),(OutputTable[GroupByKey]=OutputTable[[#This Row],[GroupByKey]])*OutputTable[RecordedValue])),0)</f>
        <v>6.4195880795508264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69" cm="1">
        <f t="array" ref="O69">MIN(IF((OutputTable[GroupByKey]=OutputTable[[#This Row],[GroupByKey]]),(OutputTable[GroupByKey]=OutputTable[[#This Row],[GroupByKey]])*OutputTable[RecordedValue]))</f>
        <v>20</v>
      </c>
      <c r="P69" cm="1">
        <f t="array" ref="P69">MAX(IF((OutputTable[GroupByKey]=OutputTable[[#This Row],[GroupByKey]]),(OutputTable[GroupByKey]=OutputTable[[#This Row],[GroupByKey]])*OutputTable[RecordedValue]))</f>
        <v>41</v>
      </c>
    </row>
    <row r="70" spans="1:16" x14ac:dyDescent="0.3">
      <c r="A70" t="s">
        <v>66</v>
      </c>
      <c r="B70" t="s">
        <v>68</v>
      </c>
      <c r="C70">
        <v>5</v>
      </c>
      <c r="D70" t="s">
        <v>106</v>
      </c>
      <c r="E70" t="s">
        <v>103</v>
      </c>
      <c r="F70" t="s">
        <v>71</v>
      </c>
      <c r="G70">
        <v>16</v>
      </c>
      <c r="H70">
        <v>0</v>
      </c>
      <c r="I70" t="str">
        <f>OutputTable[[#This Row],[ProjectName]]&amp;OutputTable[[#This Row],[Name]]&amp;OutputTable[[#This Row],[Type]]&amp;OutputTable[[#This Row],[Source]]</f>
        <v>Unnamed ProjectPICTURE_AZUL.NumberInNumber InEntity</v>
      </c>
      <c r="J70" cm="1">
        <f t="array" ref="J70">MAX(IF((ProjectInfoTable[ProjectName]=OutputTable[[#This Row],[ProjectName]]),(ProjectInfoTable[ProjectName]=OutputTable[[#This Row],[ProjectName]])*ProjectInfoTable[NumberOfReplications]))</f>
        <v>10</v>
      </c>
      <c r="K70" cm="1">
        <f t="array" ref="K70">IFERROR(AVERAGE(IF((OutputTable[GroupByKey]=OutputTable[[#This Row],[GroupByKey]]),(OutputTable[GroupByKey]=OutputTable[[#This Row],[GroupByKey]])*OutputTable[RecordedValue])),0)</f>
        <v>13.3</v>
      </c>
      <c r="L70" cm="1">
        <f t="array" ref="L70">IFERROR(_xlfn.STDEV.S(IF((OutputTable[GroupByKey]=OutputTable[[#This Row],[GroupByKey]]),(OutputTable[GroupByKey]=OutputTable[[#This Row],[GroupByKey]])*OutputTable[RecordedValue])),0)</f>
        <v>4.2700507413066324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3.0546102866388556</v>
      </c>
      <c r="O70" cm="1">
        <f t="array" ref="O70">MIN(IF((OutputTable[GroupByKey]=OutputTable[[#This Row],[GroupByKey]]),(OutputTable[GroupByKey]=OutputTable[[#This Row],[GroupByKey]])*OutputTable[RecordedValue]))</f>
        <v>7</v>
      </c>
      <c r="P70" cm="1">
        <f t="array" ref="P70">MAX(IF((OutputTable[GroupByKey]=OutputTable[[#This Row],[GroupByKey]]),(OutputTable[GroupByKey]=OutputTable[[#This Row],[GroupByKey]])*OutputTable[RecordedValue]))</f>
        <v>20</v>
      </c>
    </row>
    <row r="71" spans="1:16" x14ac:dyDescent="0.3">
      <c r="A71" t="s">
        <v>66</v>
      </c>
      <c r="B71" t="s">
        <v>68</v>
      </c>
      <c r="C71">
        <v>5</v>
      </c>
      <c r="D71" t="s">
        <v>107</v>
      </c>
      <c r="E71" t="s">
        <v>105</v>
      </c>
      <c r="F71" t="s">
        <v>71</v>
      </c>
      <c r="G71">
        <v>12</v>
      </c>
      <c r="H71">
        <v>0</v>
      </c>
      <c r="I71" t="str">
        <f>OutputTable[[#This Row],[ProjectName]]&amp;OutputTable[[#This Row],[Name]]&amp;OutputTable[[#This Row],[Type]]&amp;OutputTable[[#This Row],[Source]]</f>
        <v>Unnamed ProjectPICTURE_AZUL.NumberOutNumber OutEntity</v>
      </c>
      <c r="J71" cm="1">
        <f t="array" ref="J71">MAX(IF((ProjectInfoTable[ProjectName]=OutputTable[[#This Row],[ProjectName]]),(ProjectInfoTable[ProjectName]=OutputTable[[#This Row],[ProjectName]])*ProjectInfoTable[NumberOfReplications]))</f>
        <v>10</v>
      </c>
      <c r="K71" cm="1">
        <f t="array" ref="K71">IFERROR(AVERAGE(IF((OutputTable[GroupByKey]=OutputTable[[#This Row],[GroupByKey]]),(OutputTable[GroupByKey]=OutputTable[[#This Row],[GroupByKey]])*OutputTable[RecordedValue])),0)</f>
        <v>10.6</v>
      </c>
      <c r="L71" cm="1">
        <f t="array" ref="L71">IFERROR(_xlfn.STDEV.S(IF((OutputTable[GroupByKey]=OutputTable[[#This Row],[GroupByKey]]),(OutputTable[GroupByKey]=OutputTable[[#This Row],[GroupByKey]])*OutputTable[RecordedValue])),0)</f>
        <v>2.2705848487901892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1.6242785521744192</v>
      </c>
      <c r="O71" cm="1">
        <f t="array" ref="O71">MIN(IF((OutputTable[GroupByKey]=OutputTable[[#This Row],[GroupByKey]]),(OutputTable[GroupByKey]=OutputTable[[#This Row],[GroupByKey]])*OutputTable[RecordedValue]))</f>
        <v>6</v>
      </c>
      <c r="P71" cm="1">
        <f t="array" ref="P71">MAX(IF((OutputTable[GroupByKey]=OutputTable[[#This Row],[GroupByKey]]),(OutputTable[GroupByKey]=OutputTable[[#This Row],[GroupByKey]])*OutputTable[RecordedValue]))</f>
        <v>13</v>
      </c>
    </row>
    <row r="72" spans="1:16" x14ac:dyDescent="0.3">
      <c r="A72" t="s">
        <v>66</v>
      </c>
      <c r="B72" t="s">
        <v>68</v>
      </c>
      <c r="C72">
        <v>5</v>
      </c>
      <c r="D72" t="s">
        <v>108</v>
      </c>
      <c r="E72" t="s">
        <v>103</v>
      </c>
      <c r="F72" t="s">
        <v>71</v>
      </c>
      <c r="G72">
        <v>10</v>
      </c>
      <c r="H72">
        <v>0</v>
      </c>
      <c r="I72" t="str">
        <f>OutputTable[[#This Row],[ProjectName]]&amp;OutputTable[[#This Row],[Name]]&amp;OutputTable[[#This Row],[Type]]&amp;OutputTable[[#This Row],[Source]]</f>
        <v>Unnamed ProjectPICTURE_VERDE.NumberInNumber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10</v>
      </c>
      <c r="K72" cm="1">
        <f t="array" ref="K72">IFERROR(AVERAGE(IF((OutputTable[GroupByKey]=OutputTable[[#This Row],[GroupByKey]]),(OutputTable[GroupByKey]=OutputTable[[#This Row],[GroupByKey]])*OutputTable[RecordedValue])),0)</f>
        <v>11.1</v>
      </c>
      <c r="L72" cm="1">
        <f t="array" ref="L72">IFERROR(_xlfn.STDEV.S(IF((OutputTable[GroupByKey]=OutputTable[[#This Row],[GroupByKey]]),(OutputTable[GroupByKey]=OutputTable[[#This Row],[GroupByKey]])*OutputTable[RecordedValue])),0)</f>
        <v>2.726414006223806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1.9503590878873462</v>
      </c>
      <c r="O72" cm="1">
        <f t="array" ref="O72">MIN(IF((OutputTable[GroupByKey]=OutputTable[[#This Row],[GroupByKey]]),(OutputTable[GroupByKey]=OutputTable[[#This Row],[GroupByKey]])*OutputTable[RecordedValue]))</f>
        <v>8</v>
      </c>
      <c r="P72" cm="1">
        <f t="array" ref="P72">MAX(IF((OutputTable[GroupByKey]=OutputTable[[#This Row],[GroupByKey]]),(OutputTable[GroupByKey]=OutputTable[[#This Row],[GroupByKey]])*OutputTable[RecordedValue]))</f>
        <v>16</v>
      </c>
    </row>
    <row r="73" spans="1:16" x14ac:dyDescent="0.3">
      <c r="A73" t="s">
        <v>66</v>
      </c>
      <c r="B73" t="s">
        <v>68</v>
      </c>
      <c r="C73">
        <v>5</v>
      </c>
      <c r="D73" t="s">
        <v>109</v>
      </c>
      <c r="E73" t="s">
        <v>105</v>
      </c>
      <c r="F73" t="s">
        <v>71</v>
      </c>
      <c r="G73">
        <v>8</v>
      </c>
      <c r="H73">
        <v>0</v>
      </c>
      <c r="I73" t="str">
        <f>OutputTable[[#This Row],[ProjectName]]&amp;OutputTable[[#This Row],[Name]]&amp;OutputTable[[#This Row],[Type]]&amp;OutputTable[[#This Row],[Source]]</f>
        <v>Unnamed ProjectPICTURE_VERDE.NumberOutNumber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10</v>
      </c>
      <c r="K73" cm="1">
        <f t="array" ref="K73">IFERROR(AVERAGE(IF((OutputTable[GroupByKey]=OutputTable[[#This Row],[GroupByKey]]),(OutputTable[GroupByKey]=OutputTable[[#This Row],[GroupByKey]])*OutputTable[RecordedValue])),0)</f>
        <v>8.9</v>
      </c>
      <c r="L73" cm="1">
        <f t="array" ref="L73">IFERROR(_xlfn.STDEV.S(IF((OutputTable[GroupByKey]=OutputTable[[#This Row],[GroupByKey]]),(OutputTable[GroupByKey]=OutputTable[[#This Row],[GroupByKey]])*OutputTable[RecordedValue])),0)</f>
        <v>2.4244128727957572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1.7343204914786237</v>
      </c>
      <c r="O73" cm="1">
        <f t="array" ref="O73">MIN(IF((OutputTable[GroupByKey]=OutputTable[[#This Row],[GroupByKey]]),(OutputTable[GroupByKey]=OutputTable[[#This Row],[GroupByKey]])*OutputTable[RecordedValue]))</f>
        <v>6</v>
      </c>
      <c r="P73" cm="1">
        <f t="array" ref="P73">MAX(IF((OutputTable[GroupByKey]=OutputTable[[#This Row],[GroupByKey]]),(OutputTable[GroupByKey]=OutputTable[[#This Row],[GroupByKey]])*OutputTable[RecordedValue]))</f>
        <v>14</v>
      </c>
    </row>
    <row r="74" spans="1:16" x14ac:dyDescent="0.3">
      <c r="A74" t="s">
        <v>66</v>
      </c>
      <c r="B74" t="s">
        <v>68</v>
      </c>
      <c r="C74">
        <v>5</v>
      </c>
      <c r="D74" t="s">
        <v>110</v>
      </c>
      <c r="E74" t="s">
        <v>103</v>
      </c>
      <c r="F74" t="s">
        <v>71</v>
      </c>
      <c r="G74">
        <v>7</v>
      </c>
      <c r="H74">
        <v>0</v>
      </c>
      <c r="I74" t="str">
        <f>OutputTable[[#This Row],[ProjectName]]&amp;OutputTable[[#This Row],[Name]]&amp;OutputTable[[#This Row],[Type]]&amp;OutputTable[[#This Row],[Source]]</f>
        <v>Unnamed ProjectPICTURE_VERMELHO.NumberInNumber InEntity</v>
      </c>
      <c r="J74" cm="1">
        <f t="array" ref="J74">MAX(IF((ProjectInfoTable[ProjectName]=OutputTable[[#This Row],[ProjectName]]),(ProjectInfoTable[ProjectName]=OutputTable[[#This Row],[ProjectName]])*ProjectInfoTable[NumberOfReplications]))</f>
        <v>10</v>
      </c>
      <c r="K74" cm="1">
        <f t="array" ref="K74">IFERROR(AVERAGE(IF((OutputTable[GroupByKey]=OutputTable[[#This Row],[GroupByKey]]),(OutputTable[GroupByKey]=OutputTable[[#This Row],[GroupByKey]])*OutputTable[RecordedValue])),0)</f>
        <v>5.5</v>
      </c>
      <c r="L74" cm="1">
        <f t="array" ref="L74">IFERROR(_xlfn.STDEV.S(IF((OutputTable[GroupByKey]=OutputTable[[#This Row],[GroupByKey]]),(OutputTable[GroupByKey]=OutputTable[[#This Row],[GroupByKey]])*OutputTable[RecordedValue])),0)</f>
        <v>2.0138409955990952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1.4406150637286517</v>
      </c>
      <c r="O74" cm="1">
        <f t="array" ref="O74">MIN(IF((OutputTable[GroupByKey]=OutputTable[[#This Row],[GroupByKey]]),(OutputTable[GroupByKey]=OutputTable[[#This Row],[GroupByKey]])*OutputTable[RecordedValue]))</f>
        <v>3</v>
      </c>
      <c r="P74" cm="1">
        <f t="array" ref="P74">MAX(IF((OutputTable[GroupByKey]=OutputTable[[#This Row],[GroupByKey]]),(OutputTable[GroupByKey]=OutputTable[[#This Row],[GroupByKey]])*OutputTable[RecordedValue]))</f>
        <v>9</v>
      </c>
    </row>
    <row r="75" spans="1:16" x14ac:dyDescent="0.3">
      <c r="A75" t="s">
        <v>66</v>
      </c>
      <c r="B75" t="s">
        <v>68</v>
      </c>
      <c r="C75">
        <v>5</v>
      </c>
      <c r="D75" t="s">
        <v>111</v>
      </c>
      <c r="E75" t="s">
        <v>105</v>
      </c>
      <c r="F75" t="s">
        <v>71</v>
      </c>
      <c r="G75">
        <v>5</v>
      </c>
      <c r="H75">
        <v>0</v>
      </c>
      <c r="I75" t="str">
        <f>OutputTable[[#This Row],[ProjectName]]&amp;OutputTable[[#This Row],[Name]]&amp;OutputTable[[#This Row],[Type]]&amp;OutputTable[[#This Row],[Source]]</f>
        <v>Unnamed ProjectPICTURE_VERMELHO.NumberOutNumber OutEntity</v>
      </c>
      <c r="J75" cm="1">
        <f t="array" ref="J75">MAX(IF((ProjectInfoTable[ProjectName]=OutputTable[[#This Row],[ProjectName]]),(ProjectInfoTable[ProjectName]=OutputTable[[#This Row],[ProjectName]])*ProjectInfoTable[NumberOfReplications]))</f>
        <v>10</v>
      </c>
      <c r="K75" cm="1">
        <f t="array" ref="K75">IFERROR(AVERAGE(IF((OutputTable[GroupByKey]=OutputTable[[#This Row],[GroupByKey]]),(OutputTable[GroupByKey]=OutputTable[[#This Row],[GroupByKey]])*OutputTable[RecordedValue])),0)</f>
        <v>3.6</v>
      </c>
      <c r="L75" cm="1">
        <f t="array" ref="L75">IFERROR(_xlfn.STDEV.S(IF((OutputTable[GroupByKey]=OutputTable[[#This Row],[GroupByKey]]),(OutputTable[GroupByKey]=OutputTable[[#This Row],[GroupByKey]])*OutputTable[RecordedValue])),0)</f>
        <v>0.84327404271156814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0.60324191007952155</v>
      </c>
      <c r="O75" cm="1">
        <f t="array" ref="O75">MIN(IF((OutputTable[GroupByKey]=OutputTable[[#This Row],[GroupByKey]]),(OutputTable[GroupByKey]=OutputTable[[#This Row],[GroupByKey]])*OutputTable[RecordedValue]))</f>
        <v>3</v>
      </c>
      <c r="P75" cm="1">
        <f t="array" ref="P75">MAX(IF((OutputTable[GroupByKey]=OutputTable[[#This Row],[GroupByKey]]),(OutputTable[GroupByKey]=OutputTable[[#This Row],[GroupByKey]])*OutputTable[RecordedValue]))</f>
        <v>5</v>
      </c>
    </row>
    <row r="76" spans="1:16" x14ac:dyDescent="0.3">
      <c r="A76" t="s">
        <v>66</v>
      </c>
      <c r="B76" t="s">
        <v>68</v>
      </c>
      <c r="C76">
        <v>5</v>
      </c>
      <c r="D76" t="s">
        <v>112</v>
      </c>
      <c r="E76" t="s">
        <v>105</v>
      </c>
      <c r="F76" t="s">
        <v>113</v>
      </c>
      <c r="G76">
        <v>25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10</v>
      </c>
      <c r="K76" cm="1">
        <f t="array" ref="K76">IFERROR(AVERAGE(IF((OutputTable[GroupByKey]=OutputTable[[#This Row],[GroupByKey]]),(OutputTable[GroupByKey]=OutputTable[[#This Row],[GroupByKey]])*OutputTable[RecordedValue])),0)</f>
        <v>23.1</v>
      </c>
      <c r="L76" cm="1">
        <f t="array" ref="L76">IFERROR(_xlfn.STDEV.S(IF((OutputTable[GroupByKey]=OutputTable[[#This Row],[GroupByKey]]),(OutputTable[GroupByKey]=OutputTable[[#This Row],[GroupByKey]])*OutputTable[RecordedValue])),0)</f>
        <v>3.4785054261852113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2.4883728790780211</v>
      </c>
      <c r="O76" cm="1">
        <f t="array" ref="O76">MIN(IF((OutputTable[GroupByKey]=OutputTable[[#This Row],[GroupByKey]]),(OutputTable[GroupByKey]=OutputTable[[#This Row],[GroupByKey]])*OutputTable[RecordedValue]))</f>
        <v>17</v>
      </c>
      <c r="P76" cm="1">
        <f t="array" ref="P76">MAX(IF((OutputTable[GroupByKey]=OutputTable[[#This Row],[GroupByKey]]),(OutputTable[GroupByKey]=OutputTable[[#This Row],[GroupByKey]])*OutputTable[RecordedValue]))</f>
        <v>28</v>
      </c>
    </row>
    <row r="77" spans="1:16" x14ac:dyDescent="0.3">
      <c r="A77" t="s">
        <v>66</v>
      </c>
      <c r="B77" t="s">
        <v>68</v>
      </c>
      <c r="C77">
        <v>6</v>
      </c>
      <c r="D77" t="s">
        <v>94</v>
      </c>
      <c r="E77" t="s">
        <v>95</v>
      </c>
      <c r="F77" t="s">
        <v>86</v>
      </c>
      <c r="G77">
        <v>12</v>
      </c>
      <c r="H77">
        <v>0</v>
      </c>
      <c r="I77" t="str">
        <f>OutputTable[[#This Row],[ProjectName]]&amp;OutputTable[[#This Row],[Name]]&amp;OutputTable[[#This Row],[Type]]&amp;OutputTable[[#This Row],[Source]]</f>
        <v>Unnamed ProjectOPERADOR_CORTE.NumberSeizedTotal Number SeizedResource</v>
      </c>
      <c r="J77" cm="1">
        <f t="array" ref="J77">MAX(IF((ProjectInfoTable[ProjectName]=OutputTable[[#This Row],[ProjectName]]),(ProjectInfoTable[ProjectName]=OutputTable[[#This Row],[ProjectName]])*ProjectInfoTable[NumberOfReplications]))</f>
        <v>10</v>
      </c>
      <c r="K77" cm="1">
        <f t="array" ref="K77">IFERROR(AVERAGE(IF((OutputTable[GroupByKey]=OutputTable[[#This Row],[GroupByKey]]),(OutputTable[GroupByKey]=OutputTable[[#This Row],[GroupByKey]])*OutputTable[RecordedValue])),0)</f>
        <v>15.9</v>
      </c>
      <c r="L77" cm="1">
        <f t="array" ref="L77">IFERROR(_xlfn.STDEV.S(IF((OutputTable[GroupByKey]=OutputTable[[#This Row],[GroupByKey]]),(OutputTable[GroupByKey]=OutputTable[[#This Row],[GroupByKey]])*OutputTable[RecordedValue])),0)</f>
        <v>3.247221034122016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2.3229219919723874</v>
      </c>
      <c r="O77" cm="1">
        <f t="array" ref="O77">MIN(IF((OutputTable[GroupByKey]=OutputTable[[#This Row],[GroupByKey]]),(OutputTable[GroupByKey]=OutputTable[[#This Row],[GroupByKey]])*OutputTable[RecordedValue]))</f>
        <v>12</v>
      </c>
      <c r="P77" cm="1">
        <f t="array" ref="P77">MAX(IF((OutputTable[GroupByKey]=OutputTable[[#This Row],[GroupByKey]]),(OutputTable[GroupByKey]=OutputTable[[#This Row],[GroupByKey]])*OutputTable[RecordedValue]))</f>
        <v>21</v>
      </c>
    </row>
    <row r="78" spans="1:16" x14ac:dyDescent="0.3">
      <c r="A78" t="s">
        <v>66</v>
      </c>
      <c r="B78" t="s">
        <v>68</v>
      </c>
      <c r="C78">
        <v>6</v>
      </c>
      <c r="D78" t="s">
        <v>96</v>
      </c>
      <c r="E78" t="s">
        <v>97</v>
      </c>
      <c r="F78" t="s">
        <v>86</v>
      </c>
      <c r="G78">
        <v>0.50548165778050103</v>
      </c>
      <c r="H78">
        <v>0</v>
      </c>
      <c r="I78" t="str">
        <f>OutputTable[[#This Row],[ProjectName]]&amp;OutputTable[[#This Row],[Name]]&amp;OutputTable[[#This Row],[Type]]&amp;OutputTable[[#This Row],[Source]]</f>
        <v>Unnamed ProjectOPERADOR_CORTE.ScheduledUtilizationScheduled UtilizationResource</v>
      </c>
      <c r="J78" cm="1">
        <f t="array" ref="J78">MAX(IF((ProjectInfoTable[ProjectName]=OutputTable[[#This Row],[ProjectName]]),(ProjectInfoTable[ProjectName]=OutputTable[[#This Row],[ProjectName]])*ProjectInfoTable[NumberOfReplications]))</f>
        <v>10</v>
      </c>
      <c r="K78" cm="1">
        <f t="array" ref="K78">IFERROR(AVERAGE(IF((OutputTable[GroupByKey]=OutputTable[[#This Row],[GroupByKey]]),(OutputTable[GroupByKey]=OutputTable[[#This Row],[GroupByKey]])*OutputTable[RecordedValue])),0)</f>
        <v>0.66328097868598235</v>
      </c>
      <c r="L78" cm="1">
        <f t="array" ref="L78">IFERROR(_xlfn.STDEV.S(IF((OutputTable[GroupByKey]=OutputTable[[#This Row],[GroupByKey]]),(OutputTable[GroupByKey]=OutputTable[[#This Row],[GroupByKey]])*OutputTable[RecordedValue])),0)</f>
        <v>0.13309360211006072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9.5209427409943759E-2</v>
      </c>
      <c r="O78" cm="1">
        <f t="array" ref="O78">MIN(IF((OutputTable[GroupByKey]=OutputTable[[#This Row],[GroupByKey]]),(OutputTable[GroupByKey]=OutputTable[[#This Row],[GroupByKey]])*OutputTable[RecordedValue]))</f>
        <v>0.50548165778050103</v>
      </c>
      <c r="P78" cm="1">
        <f t="array" ref="P78">MAX(IF((OutputTable[GroupByKey]=OutputTable[[#This Row],[GroupByKey]]),(OutputTable[GroupByKey]=OutputTable[[#This Row],[GroupByKey]])*OutputTable[RecordedValue]))</f>
        <v>0.90373198712706704</v>
      </c>
    </row>
    <row r="79" spans="1:16" x14ac:dyDescent="0.3">
      <c r="A79" t="s">
        <v>66</v>
      </c>
      <c r="B79" t="s">
        <v>68</v>
      </c>
      <c r="C79">
        <v>6</v>
      </c>
      <c r="D79" t="s">
        <v>98</v>
      </c>
      <c r="E79" t="s">
        <v>95</v>
      </c>
      <c r="F79" t="s">
        <v>86</v>
      </c>
      <c r="G79">
        <v>11</v>
      </c>
      <c r="H79">
        <v>0</v>
      </c>
      <c r="I79" t="str">
        <f>OutputTable[[#This Row],[ProjectName]]&amp;OutputTable[[#This Row],[Name]]&amp;OutputTable[[#This Row],[Type]]&amp;OutputTable[[#This Row],[Source]]</f>
        <v>Unnamed ProjectOPERADOR_LIXADEIRA.NumberSeizedTotal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10</v>
      </c>
      <c r="K79" cm="1">
        <f t="array" ref="K79">IFERROR(AVERAGE(IF((OutputTable[GroupByKey]=OutputTable[[#This Row],[GroupByKey]]),(OutputTable[GroupByKey]=OutputTable[[#This Row],[GroupByKey]])*OutputTable[RecordedValue])),0)</f>
        <v>13.4</v>
      </c>
      <c r="L79" cm="1">
        <f t="array" ref="L79">IFERROR(_xlfn.STDEV.S(IF((OutputTable[GroupByKey]=OutputTable[[#This Row],[GroupByKey]]),(OutputTable[GroupByKey]=OutputTable[[#This Row],[GroupByKey]])*OutputTable[RecordedValue])),0)</f>
        <v>2.1186998109427626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1.5156265414366468</v>
      </c>
      <c r="O79" cm="1">
        <f t="array" ref="O79">MIN(IF((OutputTable[GroupByKey]=OutputTable[[#This Row],[GroupByKey]]),(OutputTable[GroupByKey]=OutputTable[[#This Row],[GroupByKey]])*OutputTable[RecordedValue]))</f>
        <v>11</v>
      </c>
      <c r="P79" cm="1">
        <f t="array" ref="P79">MAX(IF((OutputTable[GroupByKey]=OutputTable[[#This Row],[GroupByKey]]),(OutputTable[GroupByKey]=OutputTable[[#This Row],[GroupByKey]])*OutputTable[RecordedValue]))</f>
        <v>18</v>
      </c>
    </row>
    <row r="80" spans="1:16" x14ac:dyDescent="0.3">
      <c r="A80" t="s">
        <v>66</v>
      </c>
      <c r="B80" t="s">
        <v>68</v>
      </c>
      <c r="C80">
        <v>6</v>
      </c>
      <c r="D80" t="s">
        <v>99</v>
      </c>
      <c r="E80" t="s">
        <v>97</v>
      </c>
      <c r="F80" t="s">
        <v>86</v>
      </c>
      <c r="G80">
        <v>0.515187936390896</v>
      </c>
      <c r="H80">
        <v>0</v>
      </c>
      <c r="I80" t="str">
        <f>OutputTable[[#This Row],[ProjectName]]&amp;OutputTable[[#This Row],[Name]]&amp;OutputTable[[#This Row],[Type]]&amp;OutputTable[[#This Row],[Source]]</f>
        <v>Unnamed ProjectOPERADOR_LIXADEIRA.ScheduledUtilizationScheduled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10</v>
      </c>
      <c r="K80" cm="1">
        <f t="array" ref="K80">IFERROR(AVERAGE(IF((OutputTable[GroupByKey]=OutputTable[[#This Row],[GroupByKey]]),(OutputTable[GroupByKey]=OutputTable[[#This Row],[GroupByKey]])*OutputTable[RecordedValue])),0)</f>
        <v>0.61388612230942741</v>
      </c>
      <c r="L80" cm="1">
        <f t="array" ref="L80">IFERROR(_xlfn.STDEV.S(IF((OutputTable[GroupByKey]=OutputTable[[#This Row],[GroupByKey]]),(OutputTable[GroupByKey]=OutputTable[[#This Row],[GroupByKey]])*OutputTable[RecordedValue])),0)</f>
        <v>0.11265505672935852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8.0588572823863613E-2</v>
      </c>
      <c r="O80" cm="1">
        <f t="array" ref="O80">MIN(IF((OutputTable[GroupByKey]=OutputTable[[#This Row],[GroupByKey]]),(OutputTable[GroupByKey]=OutputTable[[#This Row],[GroupByKey]])*OutputTable[RecordedValue]))</f>
        <v>0.48262851817987601</v>
      </c>
      <c r="P80" cm="1">
        <f t="array" ref="P80">MAX(IF((OutputTable[GroupByKey]=OutputTable[[#This Row],[GroupByKey]]),(OutputTable[GroupByKey]=OutputTable[[#This Row],[GroupByKey]])*OutputTable[RecordedValue]))</f>
        <v>0.85064625227951796</v>
      </c>
    </row>
    <row r="81" spans="1:16" x14ac:dyDescent="0.3">
      <c r="A81" t="s">
        <v>66</v>
      </c>
      <c r="B81" t="s">
        <v>68</v>
      </c>
      <c r="C81">
        <v>6</v>
      </c>
      <c r="D81" t="s">
        <v>100</v>
      </c>
      <c r="E81" t="s">
        <v>95</v>
      </c>
      <c r="F81" t="s">
        <v>86</v>
      </c>
      <c r="G81">
        <v>18</v>
      </c>
      <c r="H81">
        <v>0</v>
      </c>
      <c r="I81" t="str">
        <f>OutputTable[[#This Row],[ProjectName]]&amp;OutputTable[[#This Row],[Name]]&amp;OutputTable[[#This Row],[Type]]&amp;OutputTable[[#This Row],[Source]]</f>
        <v>Unnamed ProjectOPERADOR_TORNO.NumberSeizedTotal Number SeizedResource</v>
      </c>
      <c r="J81" cm="1">
        <f t="array" ref="J81">MAX(IF((ProjectInfoTable[ProjectName]=OutputTable[[#This Row],[ProjectName]]),(ProjectInfoTable[ProjectName]=OutputTable[[#This Row],[ProjectName]])*ProjectInfoTable[NumberOfReplications]))</f>
        <v>10</v>
      </c>
      <c r="K81" cm="1">
        <f t="array" ref="K81">IFERROR(AVERAGE(IF((OutputTable[GroupByKey]=OutputTable[[#This Row],[GroupByKey]]),(OutputTable[GroupByKey]=OutputTable[[#This Row],[GroupByKey]])*OutputTable[RecordedValue])),0)</f>
        <v>15.6</v>
      </c>
      <c r="L81" cm="1">
        <f t="array" ref="L81">IFERROR(_xlfn.STDEV.S(IF((OutputTable[GroupByKey]=OutputTable[[#This Row],[GroupByKey]]),(OutputTable[GroupByKey]=OutputTable[[#This Row],[GroupByKey]])*OutputTable[RecordedValue])),0)</f>
        <v>2.716206504995117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1.9430570813906995</v>
      </c>
      <c r="O81" cm="1">
        <f t="array" ref="O81">MIN(IF((OutputTable[GroupByKey]=OutputTable[[#This Row],[GroupByKey]]),(OutputTable[GroupByKey]=OutputTable[[#This Row],[GroupByKey]])*OutputTable[RecordedValue]))</f>
        <v>10</v>
      </c>
      <c r="P81" cm="1">
        <f t="array" ref="P81">MAX(IF((OutputTable[GroupByKey]=OutputTable[[#This Row],[GroupByKey]]),(OutputTable[GroupByKey]=OutputTable[[#This Row],[GroupByKey]])*OutputTable[RecordedValue]))</f>
        <v>19</v>
      </c>
    </row>
    <row r="82" spans="1:16" x14ac:dyDescent="0.3">
      <c r="A82" t="s">
        <v>66</v>
      </c>
      <c r="B82" t="s">
        <v>68</v>
      </c>
      <c r="C82">
        <v>6</v>
      </c>
      <c r="D82" t="s">
        <v>101</v>
      </c>
      <c r="E82" t="s">
        <v>97</v>
      </c>
      <c r="F82" t="s">
        <v>86</v>
      </c>
      <c r="G82">
        <v>0.98397972672724299</v>
      </c>
      <c r="H82">
        <v>0</v>
      </c>
      <c r="I82" t="str">
        <f>OutputTable[[#This Row],[ProjectName]]&amp;OutputTable[[#This Row],[Name]]&amp;OutputTable[[#This Row],[Type]]&amp;OutputTable[[#This Row],[Source]]</f>
        <v>Unnamed ProjectOPERADOR_TORNO.ScheduledUtilizationScheduled UtilizationResource</v>
      </c>
      <c r="J82" cm="1">
        <f t="array" ref="J82">MAX(IF((ProjectInfoTable[ProjectName]=OutputTable[[#This Row],[ProjectName]]),(ProjectInfoTable[ProjectName]=OutputTable[[#This Row],[ProjectName]])*ProjectInfoTable[NumberOfReplications]))</f>
        <v>10</v>
      </c>
      <c r="K82" cm="1">
        <f t="array" ref="K82">IFERROR(AVERAGE(IF((OutputTable[GroupByKey]=OutputTable[[#This Row],[GroupByKey]]),(OutputTable[GroupByKey]=OutputTable[[#This Row],[GroupByKey]])*OutputTable[RecordedValue])),0)</f>
        <v>0.82376875514414072</v>
      </c>
      <c r="L82" cm="1">
        <f t="array" ref="L82">IFERROR(_xlfn.STDEV.S(IF((OutputTable[GroupByKey]=OutputTable[[#This Row],[GroupByKey]]),(OutputTable[GroupByKey]=OutputTable[[#This Row],[GroupByKey]])*OutputTable[RecordedValue])),0)</f>
        <v>0.13969928470385456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9.9934848072064403E-2</v>
      </c>
      <c r="O82" cm="1">
        <f t="array" ref="O82">MIN(IF((OutputTable[GroupByKey]=OutputTable[[#This Row],[GroupByKey]]),(OutputTable[GroupByKey]=OutputTable[[#This Row],[GroupByKey]])*OutputTable[RecordedValue]))</f>
        <v>0.51379543219592505</v>
      </c>
      <c r="P82" cm="1">
        <f t="array" ref="P82">MAX(IF((OutputTable[GroupByKey]=OutputTable[[#This Row],[GroupByKey]]),(OutputTable[GroupByKey]=OutputTable[[#This Row],[GroupByKey]])*OutputTable[RecordedValue]))</f>
        <v>0.98397972672724299</v>
      </c>
    </row>
    <row r="83" spans="1:16" x14ac:dyDescent="0.3">
      <c r="A83" t="s">
        <v>66</v>
      </c>
      <c r="B83" t="s">
        <v>68</v>
      </c>
      <c r="C83">
        <v>6</v>
      </c>
      <c r="D83" t="s">
        <v>102</v>
      </c>
      <c r="E83" t="s">
        <v>103</v>
      </c>
      <c r="F83" t="s">
        <v>71</v>
      </c>
      <c r="G83">
        <v>31</v>
      </c>
      <c r="H83">
        <v>0</v>
      </c>
      <c r="I83" t="str">
        <f>OutputTable[[#This Row],[ProjectName]]&amp;OutputTable[[#This Row],[Name]]&amp;OutputTable[[#This Row],[Type]]&amp;OutputTable[[#This Row],[Source]]</f>
        <v>Unnamed ProjectPECA.NumberInNumber InEntity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10</v>
      </c>
      <c r="K83" cm="1">
        <f t="array" ref="K83">IFERROR(AVERAGE(IF((OutputTable[GroupByKey]=OutputTable[[#This Row],[GroupByKey]]),(OutputTable[GroupByKey]=OutputTable[[#This Row],[GroupByKey]])*OutputTable[RecordedValue])),0)</f>
        <v>29.9</v>
      </c>
      <c r="L83" cm="1">
        <f t="array" ref="L83">IFERROR(_xlfn.STDEV.S(IF((OutputTable[GroupByKey]=OutputTable[[#This Row],[GroupByKey]]),(OutputTable[GroupByKey]=OutputTable[[#This Row],[GroupByKey]])*OutputTable[RecordedValue])),0)</f>
        <v>6.4195880795508264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83" cm="1">
        <f t="array" ref="O83">MIN(IF((OutputTable[GroupByKey]=OutputTable[[#This Row],[GroupByKey]]),(OutputTable[GroupByKey]=OutputTable[[#This Row],[GroupByKey]])*OutputTable[RecordedValue]))</f>
        <v>20</v>
      </c>
      <c r="P83" cm="1">
        <f t="array" ref="P83">MAX(IF((OutputTable[GroupByKey]=OutputTable[[#This Row],[GroupByKey]]),(OutputTable[GroupByKey]=OutputTable[[#This Row],[GroupByKey]])*OutputTable[RecordedValue]))</f>
        <v>41</v>
      </c>
    </row>
    <row r="84" spans="1:16" x14ac:dyDescent="0.3">
      <c r="A84" t="s">
        <v>66</v>
      </c>
      <c r="B84" t="s">
        <v>68</v>
      </c>
      <c r="C84">
        <v>6</v>
      </c>
      <c r="D84" t="s">
        <v>104</v>
      </c>
      <c r="E84" t="s">
        <v>105</v>
      </c>
      <c r="F84" t="s">
        <v>71</v>
      </c>
      <c r="G84">
        <v>31</v>
      </c>
      <c r="H84">
        <v>0</v>
      </c>
      <c r="I84" t="str">
        <f>OutputTable[[#This Row],[ProjectName]]&amp;OutputTable[[#This Row],[Name]]&amp;OutputTable[[#This Row],[Type]]&amp;OutputTable[[#This Row],[Source]]</f>
        <v>Unnamed ProjectPECA.NumberOutNumber OutEntity</v>
      </c>
      <c r="J84" cm="1">
        <f t="array" ref="J84">MAX(IF((ProjectInfoTable[ProjectName]=OutputTable[[#This Row],[ProjectName]]),(ProjectInfoTable[ProjectName]=OutputTable[[#This Row],[ProjectName]])*ProjectInfoTable[NumberOfReplications]))</f>
        <v>10</v>
      </c>
      <c r="K84" cm="1">
        <f t="array" ref="K84">IFERROR(AVERAGE(IF((OutputTable[GroupByKey]=OutputTable[[#This Row],[GroupByKey]]),(OutputTable[GroupByKey]=OutputTable[[#This Row],[GroupByKey]])*OutputTable[RecordedValue])),0)</f>
        <v>29.9</v>
      </c>
      <c r="L84" cm="1">
        <f t="array" ref="L84">IFERROR(_xlfn.STDEV.S(IF((OutputTable[GroupByKey]=OutputTable[[#This Row],[GroupByKey]]),(OutputTable[GroupByKey]=OutputTable[[#This Row],[GroupByKey]])*OutputTable[RecordedValue])),0)</f>
        <v>6.4195880795508264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84" cm="1">
        <f t="array" ref="O84">MIN(IF((OutputTable[GroupByKey]=OutputTable[[#This Row],[GroupByKey]]),(OutputTable[GroupByKey]=OutputTable[[#This Row],[GroupByKey]])*OutputTable[RecordedValue]))</f>
        <v>20</v>
      </c>
      <c r="P84" cm="1">
        <f t="array" ref="P84">MAX(IF((OutputTable[GroupByKey]=OutputTable[[#This Row],[GroupByKey]]),(OutputTable[GroupByKey]=OutputTable[[#This Row],[GroupByKey]])*OutputTable[RecordedValue]))</f>
        <v>41</v>
      </c>
    </row>
    <row r="85" spans="1:16" x14ac:dyDescent="0.3">
      <c r="A85" t="s">
        <v>66</v>
      </c>
      <c r="B85" t="s">
        <v>68</v>
      </c>
      <c r="C85">
        <v>6</v>
      </c>
      <c r="D85" t="s">
        <v>106</v>
      </c>
      <c r="E85" t="s">
        <v>103</v>
      </c>
      <c r="F85" t="s">
        <v>71</v>
      </c>
      <c r="G85">
        <v>19</v>
      </c>
      <c r="H85">
        <v>0</v>
      </c>
      <c r="I85" t="str">
        <f>OutputTable[[#This Row],[ProjectName]]&amp;OutputTable[[#This Row],[Name]]&amp;OutputTable[[#This Row],[Type]]&amp;OutputTable[[#This Row],[Source]]</f>
        <v>Unnamed ProjectPICTURE_AZUL.NumberInNumber InEntity</v>
      </c>
      <c r="J85" cm="1">
        <f t="array" ref="J85">MAX(IF((ProjectInfoTable[ProjectName]=OutputTable[[#This Row],[ProjectName]]),(ProjectInfoTable[ProjectName]=OutputTable[[#This Row],[ProjectName]])*ProjectInfoTable[NumberOfReplications]))</f>
        <v>10</v>
      </c>
      <c r="K85" cm="1">
        <f t="array" ref="K85">IFERROR(AVERAGE(IF((OutputTable[GroupByKey]=OutputTable[[#This Row],[GroupByKey]]),(OutputTable[GroupByKey]=OutputTable[[#This Row],[GroupByKey]])*OutputTable[RecordedValue])),0)</f>
        <v>13.3</v>
      </c>
      <c r="L85" cm="1">
        <f t="array" ref="L85">IFERROR(_xlfn.STDEV.S(IF((OutputTable[GroupByKey]=OutputTable[[#This Row],[GroupByKey]]),(OutputTable[GroupByKey]=OutputTable[[#This Row],[GroupByKey]])*OutputTable[RecordedValue])),0)</f>
        <v>4.2700507413066324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3.0546102866388556</v>
      </c>
      <c r="O85" cm="1">
        <f t="array" ref="O85">MIN(IF((OutputTable[GroupByKey]=OutputTable[[#This Row],[GroupByKey]]),(OutputTable[GroupByKey]=OutputTable[[#This Row],[GroupByKey]])*OutputTable[RecordedValue]))</f>
        <v>7</v>
      </c>
      <c r="P85" cm="1">
        <f t="array" ref="P85">MAX(IF((OutputTable[GroupByKey]=OutputTable[[#This Row],[GroupByKey]]),(OutputTable[GroupByKey]=OutputTable[[#This Row],[GroupByKey]])*OutputTable[RecordedValue]))</f>
        <v>20</v>
      </c>
    </row>
    <row r="86" spans="1:16" x14ac:dyDescent="0.3">
      <c r="A86" t="s">
        <v>66</v>
      </c>
      <c r="B86" t="s">
        <v>68</v>
      </c>
      <c r="C86">
        <v>6</v>
      </c>
      <c r="D86" t="s">
        <v>107</v>
      </c>
      <c r="E86" t="s">
        <v>105</v>
      </c>
      <c r="F86" t="s">
        <v>71</v>
      </c>
      <c r="G86">
        <v>13</v>
      </c>
      <c r="H86">
        <v>0</v>
      </c>
      <c r="I86" t="str">
        <f>OutputTable[[#This Row],[ProjectName]]&amp;OutputTable[[#This Row],[Name]]&amp;OutputTable[[#This Row],[Type]]&amp;OutputTable[[#This Row],[Source]]</f>
        <v>Unnamed ProjectPICTURE_AZUL.NumberOutNumber OutEntity</v>
      </c>
      <c r="J86" cm="1">
        <f t="array" ref="J86">MAX(IF((ProjectInfoTable[ProjectName]=OutputTable[[#This Row],[ProjectName]]),(ProjectInfoTable[ProjectName]=OutputTable[[#This Row],[ProjectName]])*ProjectInfoTable[NumberOfReplications]))</f>
        <v>10</v>
      </c>
      <c r="K86" cm="1">
        <f t="array" ref="K86">IFERROR(AVERAGE(IF((OutputTable[GroupByKey]=OutputTable[[#This Row],[GroupByKey]]),(OutputTable[GroupByKey]=OutputTable[[#This Row],[GroupByKey]])*OutputTable[RecordedValue])),0)</f>
        <v>10.6</v>
      </c>
      <c r="L86" cm="1">
        <f t="array" ref="L86">IFERROR(_xlfn.STDEV.S(IF((OutputTable[GroupByKey]=OutputTable[[#This Row],[GroupByKey]]),(OutputTable[GroupByKey]=OutputTable[[#This Row],[GroupByKey]])*OutputTable[RecordedValue])),0)</f>
        <v>2.2705848487901892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1.6242785521744192</v>
      </c>
      <c r="O86" cm="1">
        <f t="array" ref="O86">MIN(IF((OutputTable[GroupByKey]=OutputTable[[#This Row],[GroupByKey]]),(OutputTable[GroupByKey]=OutputTable[[#This Row],[GroupByKey]])*OutputTable[RecordedValue]))</f>
        <v>6</v>
      </c>
      <c r="P86" cm="1">
        <f t="array" ref="P86">MAX(IF((OutputTable[GroupByKey]=OutputTable[[#This Row],[GroupByKey]]),(OutputTable[GroupByKey]=OutputTable[[#This Row],[GroupByKey]])*OutputTable[RecordedValue]))</f>
        <v>13</v>
      </c>
    </row>
    <row r="87" spans="1:16" x14ac:dyDescent="0.3">
      <c r="A87" t="s">
        <v>66</v>
      </c>
      <c r="B87" t="s">
        <v>68</v>
      </c>
      <c r="C87">
        <v>6</v>
      </c>
      <c r="D87" t="s">
        <v>108</v>
      </c>
      <c r="E87" t="s">
        <v>103</v>
      </c>
      <c r="F87" t="s">
        <v>71</v>
      </c>
      <c r="G87">
        <v>8</v>
      </c>
      <c r="H87">
        <v>0</v>
      </c>
      <c r="I87" t="str">
        <f>OutputTable[[#This Row],[ProjectName]]&amp;OutputTable[[#This Row],[Name]]&amp;OutputTable[[#This Row],[Type]]&amp;OutputTable[[#This Row],[Source]]</f>
        <v>Unnamed ProjectPICTURE_VERDE.NumberInNumber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10</v>
      </c>
      <c r="K87" cm="1">
        <f t="array" ref="K87">IFERROR(AVERAGE(IF((OutputTable[GroupByKey]=OutputTable[[#This Row],[GroupByKey]]),(OutputTable[GroupByKey]=OutputTable[[#This Row],[GroupByKey]])*OutputTable[RecordedValue])),0)</f>
        <v>11.1</v>
      </c>
      <c r="L87" cm="1">
        <f t="array" ref="L87">IFERROR(_xlfn.STDEV.S(IF((OutputTable[GroupByKey]=OutputTable[[#This Row],[GroupByKey]]),(OutputTable[GroupByKey]=OutputTable[[#This Row],[GroupByKey]])*OutputTable[RecordedValue])),0)</f>
        <v>2.726414006223806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1.9503590878873462</v>
      </c>
      <c r="O87" cm="1">
        <f t="array" ref="O87">MIN(IF((OutputTable[GroupByKey]=OutputTable[[#This Row],[GroupByKey]]),(OutputTable[GroupByKey]=OutputTable[[#This Row],[GroupByKey]])*OutputTable[RecordedValue]))</f>
        <v>8</v>
      </c>
      <c r="P87" cm="1">
        <f t="array" ref="P87">MAX(IF((OutputTable[GroupByKey]=OutputTable[[#This Row],[GroupByKey]]),(OutputTable[GroupByKey]=OutputTable[[#This Row],[GroupByKey]])*OutputTable[RecordedValue]))</f>
        <v>16</v>
      </c>
    </row>
    <row r="88" spans="1:16" x14ac:dyDescent="0.3">
      <c r="A88" t="s">
        <v>66</v>
      </c>
      <c r="B88" t="s">
        <v>68</v>
      </c>
      <c r="C88">
        <v>6</v>
      </c>
      <c r="D88" t="s">
        <v>109</v>
      </c>
      <c r="E88" t="s">
        <v>105</v>
      </c>
      <c r="F88" t="s">
        <v>71</v>
      </c>
      <c r="G88">
        <v>7</v>
      </c>
      <c r="H88">
        <v>0</v>
      </c>
      <c r="I88" t="str">
        <f>OutputTable[[#This Row],[ProjectName]]&amp;OutputTable[[#This Row],[Name]]&amp;OutputTable[[#This Row],[Type]]&amp;OutputTable[[#This Row],[Source]]</f>
        <v>Unnamed ProjectPICTURE_VERDE.NumberOutNumber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10</v>
      </c>
      <c r="K88" cm="1">
        <f t="array" ref="K88">IFERROR(AVERAGE(IF((OutputTable[GroupByKey]=OutputTable[[#This Row],[GroupByKey]]),(OutputTable[GroupByKey]=OutputTable[[#This Row],[GroupByKey]])*OutputTable[RecordedValue])),0)</f>
        <v>8.9</v>
      </c>
      <c r="L88" cm="1">
        <f t="array" ref="L88">IFERROR(_xlfn.STDEV.S(IF((OutputTable[GroupByKey]=OutputTable[[#This Row],[GroupByKey]]),(OutputTable[GroupByKey]=OutputTable[[#This Row],[GroupByKey]])*OutputTable[RecordedValue])),0)</f>
        <v>2.4244128727957572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1.7343204914786237</v>
      </c>
      <c r="O88" cm="1">
        <f t="array" ref="O88">MIN(IF((OutputTable[GroupByKey]=OutputTable[[#This Row],[GroupByKey]]),(OutputTable[GroupByKey]=OutputTable[[#This Row],[GroupByKey]])*OutputTable[RecordedValue]))</f>
        <v>6</v>
      </c>
      <c r="P88" cm="1">
        <f t="array" ref="P88">MAX(IF((OutputTable[GroupByKey]=OutputTable[[#This Row],[GroupByKey]]),(OutputTable[GroupByKey]=OutputTable[[#This Row],[GroupByKey]])*OutputTable[RecordedValue]))</f>
        <v>14</v>
      </c>
    </row>
    <row r="89" spans="1:16" x14ac:dyDescent="0.3">
      <c r="A89" t="s">
        <v>66</v>
      </c>
      <c r="B89" t="s">
        <v>68</v>
      </c>
      <c r="C89">
        <v>6</v>
      </c>
      <c r="D89" t="s">
        <v>110</v>
      </c>
      <c r="E89" t="s">
        <v>103</v>
      </c>
      <c r="F89" t="s">
        <v>71</v>
      </c>
      <c r="G89">
        <v>4</v>
      </c>
      <c r="H89">
        <v>0</v>
      </c>
      <c r="I89" t="str">
        <f>OutputTable[[#This Row],[ProjectName]]&amp;OutputTable[[#This Row],[Name]]&amp;OutputTable[[#This Row],[Type]]&amp;OutputTable[[#This Row],[Source]]</f>
        <v>Unnamed ProjectPICTURE_VERMELHO.NumberInNumber InEntity</v>
      </c>
      <c r="J89" cm="1">
        <f t="array" ref="J89">MAX(IF((ProjectInfoTable[ProjectName]=OutputTable[[#This Row],[ProjectName]]),(ProjectInfoTable[ProjectName]=OutputTable[[#This Row],[ProjectName]])*ProjectInfoTable[NumberOfReplications]))</f>
        <v>10</v>
      </c>
      <c r="K89" cm="1">
        <f t="array" ref="K89">IFERROR(AVERAGE(IF((OutputTable[GroupByKey]=OutputTable[[#This Row],[GroupByKey]]),(OutputTable[GroupByKey]=OutputTable[[#This Row],[GroupByKey]])*OutputTable[RecordedValue])),0)</f>
        <v>5.5</v>
      </c>
      <c r="L89" cm="1">
        <f t="array" ref="L89">IFERROR(_xlfn.STDEV.S(IF((OutputTable[GroupByKey]=OutputTable[[#This Row],[GroupByKey]]),(OutputTable[GroupByKey]=OutputTable[[#This Row],[GroupByKey]])*OutputTable[RecordedValue])),0)</f>
        <v>2.0138409955990952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1.4406150637286517</v>
      </c>
      <c r="O89" cm="1">
        <f t="array" ref="O89">MIN(IF((OutputTable[GroupByKey]=OutputTable[[#This Row],[GroupByKey]]),(OutputTable[GroupByKey]=OutputTable[[#This Row],[GroupByKey]])*OutputTable[RecordedValue]))</f>
        <v>3</v>
      </c>
      <c r="P89" cm="1">
        <f t="array" ref="P89">MAX(IF((OutputTable[GroupByKey]=OutputTable[[#This Row],[GroupByKey]]),(OutputTable[GroupByKey]=OutputTable[[#This Row],[GroupByKey]])*OutputTable[RecordedValue]))</f>
        <v>9</v>
      </c>
    </row>
    <row r="90" spans="1:16" x14ac:dyDescent="0.3">
      <c r="A90" t="s">
        <v>66</v>
      </c>
      <c r="B90" t="s">
        <v>68</v>
      </c>
      <c r="C90">
        <v>6</v>
      </c>
      <c r="D90" t="s">
        <v>111</v>
      </c>
      <c r="E90" t="s">
        <v>105</v>
      </c>
      <c r="F90" t="s">
        <v>71</v>
      </c>
      <c r="G90">
        <v>3</v>
      </c>
      <c r="H90">
        <v>0</v>
      </c>
      <c r="I90" t="str">
        <f>OutputTable[[#This Row],[ProjectName]]&amp;OutputTable[[#This Row],[Name]]&amp;OutputTable[[#This Row],[Type]]&amp;OutputTable[[#This Row],[Source]]</f>
        <v>Unnamed ProjectPICTURE_VERMELHO.NumberOutNumber OutEntity</v>
      </c>
      <c r="J90" cm="1">
        <f t="array" ref="J90">MAX(IF((ProjectInfoTable[ProjectName]=OutputTable[[#This Row],[ProjectName]]),(ProjectInfoTable[ProjectName]=OutputTable[[#This Row],[ProjectName]])*ProjectInfoTable[NumberOfReplications]))</f>
        <v>10</v>
      </c>
      <c r="K90" cm="1">
        <f t="array" ref="K90">IFERROR(AVERAGE(IF((OutputTable[GroupByKey]=OutputTable[[#This Row],[GroupByKey]]),(OutputTable[GroupByKey]=OutputTable[[#This Row],[GroupByKey]])*OutputTable[RecordedValue])),0)</f>
        <v>3.6</v>
      </c>
      <c r="L90" cm="1">
        <f t="array" ref="L90">IFERROR(_xlfn.STDEV.S(IF((OutputTable[GroupByKey]=OutputTable[[#This Row],[GroupByKey]]),(OutputTable[GroupByKey]=OutputTable[[#This Row],[GroupByKey]])*OutputTable[RecordedValue])),0)</f>
        <v>0.84327404271156814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0.60324191007952155</v>
      </c>
      <c r="O90" cm="1">
        <f t="array" ref="O90">MIN(IF((OutputTable[GroupByKey]=OutputTable[[#This Row],[GroupByKey]]),(OutputTable[GroupByKey]=OutputTable[[#This Row],[GroupByKey]])*OutputTable[RecordedValue]))</f>
        <v>3</v>
      </c>
      <c r="P90" cm="1">
        <f t="array" ref="P90">MAX(IF((OutputTable[GroupByKey]=OutputTable[[#This Row],[GroupByKey]]),(OutputTable[GroupByKey]=OutputTable[[#This Row],[GroupByKey]])*OutputTable[RecordedValue]))</f>
        <v>5</v>
      </c>
    </row>
    <row r="91" spans="1:16" x14ac:dyDescent="0.3">
      <c r="A91" t="s">
        <v>66</v>
      </c>
      <c r="B91" t="s">
        <v>68</v>
      </c>
      <c r="C91">
        <v>6</v>
      </c>
      <c r="D91" t="s">
        <v>112</v>
      </c>
      <c r="E91" t="s">
        <v>105</v>
      </c>
      <c r="F91" t="s">
        <v>113</v>
      </c>
      <c r="G91">
        <v>23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10</v>
      </c>
      <c r="K91" cm="1">
        <f t="array" ref="K91">IFERROR(AVERAGE(IF((OutputTable[GroupByKey]=OutputTable[[#This Row],[GroupByKey]]),(OutputTable[GroupByKey]=OutputTable[[#This Row],[GroupByKey]])*OutputTable[RecordedValue])),0)</f>
        <v>23.1</v>
      </c>
      <c r="L91" cm="1">
        <f t="array" ref="L91">IFERROR(_xlfn.STDEV.S(IF((OutputTable[GroupByKey]=OutputTable[[#This Row],[GroupByKey]]),(OutputTable[GroupByKey]=OutputTable[[#This Row],[GroupByKey]])*OutputTable[RecordedValue])),0)</f>
        <v>3.4785054261852113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2.4883728790780211</v>
      </c>
      <c r="O91" cm="1">
        <f t="array" ref="O91">MIN(IF((OutputTable[GroupByKey]=OutputTable[[#This Row],[GroupByKey]]),(OutputTable[GroupByKey]=OutputTable[[#This Row],[GroupByKey]])*OutputTable[RecordedValue]))</f>
        <v>17</v>
      </c>
      <c r="P91" cm="1">
        <f t="array" ref="P91">MAX(IF((OutputTable[GroupByKey]=OutputTable[[#This Row],[GroupByKey]]),(OutputTable[GroupByKey]=OutputTable[[#This Row],[GroupByKey]])*OutputTable[RecordedValue]))</f>
        <v>28</v>
      </c>
    </row>
    <row r="92" spans="1:16" x14ac:dyDescent="0.3">
      <c r="A92" t="s">
        <v>66</v>
      </c>
      <c r="B92" t="s">
        <v>68</v>
      </c>
      <c r="C92">
        <v>7</v>
      </c>
      <c r="D92" t="s">
        <v>94</v>
      </c>
      <c r="E92" t="s">
        <v>95</v>
      </c>
      <c r="F92" t="s">
        <v>86</v>
      </c>
      <c r="G92">
        <v>13</v>
      </c>
      <c r="H92">
        <v>0</v>
      </c>
      <c r="I92" t="str">
        <f>OutputTable[[#This Row],[ProjectName]]&amp;OutputTable[[#This Row],[Name]]&amp;OutputTable[[#This Row],[Type]]&amp;OutputTable[[#This Row],[Source]]</f>
        <v>Unnamed ProjectOPERADOR_CORTE.NumberSeizedTotal Number SeizedResource</v>
      </c>
      <c r="J92" cm="1">
        <f t="array" ref="J92">MAX(IF((ProjectInfoTable[ProjectName]=OutputTable[[#This Row],[ProjectName]]),(ProjectInfoTable[ProjectName]=OutputTable[[#This Row],[ProjectName]])*ProjectInfoTable[NumberOfReplications]))</f>
        <v>10</v>
      </c>
      <c r="K92" cm="1">
        <f t="array" ref="K92">IFERROR(AVERAGE(IF((OutputTable[GroupByKey]=OutputTable[[#This Row],[GroupByKey]]),(OutputTable[GroupByKey]=OutputTable[[#This Row],[GroupByKey]])*OutputTable[RecordedValue])),0)</f>
        <v>15.9</v>
      </c>
      <c r="L92" cm="1">
        <f t="array" ref="L92">IFERROR(_xlfn.STDEV.S(IF((OutputTable[GroupByKey]=OutputTable[[#This Row],[GroupByKey]]),(OutputTable[GroupByKey]=OutputTable[[#This Row],[GroupByKey]])*OutputTable[RecordedValue])),0)</f>
        <v>3.247221034122016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2.3229219919723874</v>
      </c>
      <c r="O92" cm="1">
        <f t="array" ref="O92">MIN(IF((OutputTable[GroupByKey]=OutputTable[[#This Row],[GroupByKey]]),(OutputTable[GroupByKey]=OutputTable[[#This Row],[GroupByKey]])*OutputTable[RecordedValue]))</f>
        <v>12</v>
      </c>
      <c r="P92" cm="1">
        <f t="array" ref="P92">MAX(IF((OutputTable[GroupByKey]=OutputTable[[#This Row],[GroupByKey]]),(OutputTable[GroupByKey]=OutputTable[[#This Row],[GroupByKey]])*OutputTable[RecordedValue]))</f>
        <v>21</v>
      </c>
    </row>
    <row r="93" spans="1:16" x14ac:dyDescent="0.3">
      <c r="A93" t="s">
        <v>66</v>
      </c>
      <c r="B93" t="s">
        <v>68</v>
      </c>
      <c r="C93">
        <v>7</v>
      </c>
      <c r="D93" t="s">
        <v>96</v>
      </c>
      <c r="E93" t="s">
        <v>97</v>
      </c>
      <c r="F93" t="s">
        <v>86</v>
      </c>
      <c r="G93">
        <v>0.54115693840619805</v>
      </c>
      <c r="H93">
        <v>0</v>
      </c>
      <c r="I93" t="str">
        <f>OutputTable[[#This Row],[ProjectName]]&amp;OutputTable[[#This Row],[Name]]&amp;OutputTable[[#This Row],[Type]]&amp;OutputTable[[#This Row],[Source]]</f>
        <v>Unnamed ProjectOPERADOR_CORTE.ScheduledUtilizationScheduled UtilizationResource</v>
      </c>
      <c r="J93" cm="1">
        <f t="array" ref="J93">MAX(IF((ProjectInfoTable[ProjectName]=OutputTable[[#This Row],[ProjectName]]),(ProjectInfoTable[ProjectName]=OutputTable[[#This Row],[ProjectName]])*ProjectInfoTable[NumberOfReplications]))</f>
        <v>10</v>
      </c>
      <c r="K93" cm="1">
        <f t="array" ref="K93">IFERROR(AVERAGE(IF((OutputTable[GroupByKey]=OutputTable[[#This Row],[GroupByKey]]),(OutputTable[GroupByKey]=OutputTable[[#This Row],[GroupByKey]])*OutputTable[RecordedValue])),0)</f>
        <v>0.66328097868598235</v>
      </c>
      <c r="L93" cm="1">
        <f t="array" ref="L93">IFERROR(_xlfn.STDEV.S(IF((OutputTable[GroupByKey]=OutputTable[[#This Row],[GroupByKey]]),(OutputTable[GroupByKey]=OutputTable[[#This Row],[GroupByKey]])*OutputTable[RecordedValue])),0)</f>
        <v>0.13309360211006072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9.5209427409943759E-2</v>
      </c>
      <c r="O93" cm="1">
        <f t="array" ref="O93">MIN(IF((OutputTable[GroupByKey]=OutputTable[[#This Row],[GroupByKey]]),(OutputTable[GroupByKey]=OutputTable[[#This Row],[GroupByKey]])*OutputTable[RecordedValue]))</f>
        <v>0.50548165778050103</v>
      </c>
      <c r="P93" cm="1">
        <f t="array" ref="P93">MAX(IF((OutputTable[GroupByKey]=OutputTable[[#This Row],[GroupByKey]]),(OutputTable[GroupByKey]=OutputTable[[#This Row],[GroupByKey]])*OutputTable[RecordedValue]))</f>
        <v>0.90373198712706704</v>
      </c>
    </row>
    <row r="94" spans="1:16" x14ac:dyDescent="0.3">
      <c r="A94" t="s">
        <v>66</v>
      </c>
      <c r="B94" t="s">
        <v>68</v>
      </c>
      <c r="C94">
        <v>7</v>
      </c>
      <c r="D94" t="s">
        <v>98</v>
      </c>
      <c r="E94" t="s">
        <v>95</v>
      </c>
      <c r="F94" t="s">
        <v>86</v>
      </c>
      <c r="G94">
        <v>12</v>
      </c>
      <c r="H94">
        <v>0</v>
      </c>
      <c r="I94" t="str">
        <f>OutputTable[[#This Row],[ProjectName]]&amp;OutputTable[[#This Row],[Name]]&amp;OutputTable[[#This Row],[Type]]&amp;OutputTable[[#This Row],[Source]]</f>
        <v>Unnamed ProjectOPERADOR_LIXADEIRA.NumberSeizedTotal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10</v>
      </c>
      <c r="K94" cm="1">
        <f t="array" ref="K94">IFERROR(AVERAGE(IF((OutputTable[GroupByKey]=OutputTable[[#This Row],[GroupByKey]]),(OutputTable[GroupByKey]=OutputTable[[#This Row],[GroupByKey]])*OutputTable[RecordedValue])),0)</f>
        <v>13.4</v>
      </c>
      <c r="L94" cm="1">
        <f t="array" ref="L94">IFERROR(_xlfn.STDEV.S(IF((OutputTable[GroupByKey]=OutputTable[[#This Row],[GroupByKey]]),(OutputTable[GroupByKey]=OutputTable[[#This Row],[GroupByKey]])*OutputTable[RecordedValue])),0)</f>
        <v>2.1186998109427626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1.5156265414366468</v>
      </c>
      <c r="O94" cm="1">
        <f t="array" ref="O94">MIN(IF((OutputTable[GroupByKey]=OutputTable[[#This Row],[GroupByKey]]),(OutputTable[GroupByKey]=OutputTable[[#This Row],[GroupByKey]])*OutputTable[RecordedValue]))</f>
        <v>11</v>
      </c>
      <c r="P94" cm="1">
        <f t="array" ref="P94">MAX(IF((OutputTable[GroupByKey]=OutputTable[[#This Row],[GroupByKey]]),(OutputTable[GroupByKey]=OutputTable[[#This Row],[GroupByKey]])*OutputTable[RecordedValue]))</f>
        <v>18</v>
      </c>
    </row>
    <row r="95" spans="1:16" x14ac:dyDescent="0.3">
      <c r="A95" t="s">
        <v>66</v>
      </c>
      <c r="B95" t="s">
        <v>68</v>
      </c>
      <c r="C95">
        <v>7</v>
      </c>
      <c r="D95" t="s">
        <v>99</v>
      </c>
      <c r="E95" t="s">
        <v>97</v>
      </c>
      <c r="F95" t="s">
        <v>86</v>
      </c>
      <c r="G95">
        <v>0.57814631873207301</v>
      </c>
      <c r="H95">
        <v>0</v>
      </c>
      <c r="I95" t="str">
        <f>OutputTable[[#This Row],[ProjectName]]&amp;OutputTable[[#This Row],[Name]]&amp;OutputTable[[#This Row],[Type]]&amp;OutputTable[[#This Row],[Source]]</f>
        <v>Unnamed ProjectOPERADOR_LIXADEIRA.ScheduledUtilizationScheduled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10</v>
      </c>
      <c r="K95" cm="1">
        <f t="array" ref="K95">IFERROR(AVERAGE(IF((OutputTable[GroupByKey]=OutputTable[[#This Row],[GroupByKey]]),(OutputTable[GroupByKey]=OutputTable[[#This Row],[GroupByKey]])*OutputTable[RecordedValue])),0)</f>
        <v>0.61388612230942741</v>
      </c>
      <c r="L95" cm="1">
        <f t="array" ref="L95">IFERROR(_xlfn.STDEV.S(IF((OutputTable[GroupByKey]=OutputTable[[#This Row],[GroupByKey]]),(OutputTable[GroupByKey]=OutputTable[[#This Row],[GroupByKey]])*OutputTable[RecordedValue])),0)</f>
        <v>0.11265505672935852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8.0588572823863613E-2</v>
      </c>
      <c r="O95" cm="1">
        <f t="array" ref="O95">MIN(IF((OutputTable[GroupByKey]=OutputTable[[#This Row],[GroupByKey]]),(OutputTable[GroupByKey]=OutputTable[[#This Row],[GroupByKey]])*OutputTable[RecordedValue]))</f>
        <v>0.48262851817987601</v>
      </c>
      <c r="P95" cm="1">
        <f t="array" ref="P95">MAX(IF((OutputTable[GroupByKey]=OutputTable[[#This Row],[GroupByKey]]),(OutputTable[GroupByKey]=OutputTable[[#This Row],[GroupByKey]])*OutputTable[RecordedValue]))</f>
        <v>0.85064625227951796</v>
      </c>
    </row>
    <row r="96" spans="1:16" x14ac:dyDescent="0.3">
      <c r="A96" t="s">
        <v>66</v>
      </c>
      <c r="B96" t="s">
        <v>68</v>
      </c>
      <c r="C96">
        <v>7</v>
      </c>
      <c r="D96" t="s">
        <v>100</v>
      </c>
      <c r="E96" t="s">
        <v>95</v>
      </c>
      <c r="F96" t="s">
        <v>86</v>
      </c>
      <c r="G96">
        <v>10</v>
      </c>
      <c r="H96">
        <v>0</v>
      </c>
      <c r="I96" t="str">
        <f>OutputTable[[#This Row],[ProjectName]]&amp;OutputTable[[#This Row],[Name]]&amp;OutputTable[[#This Row],[Type]]&amp;OutputTable[[#This Row],[Source]]</f>
        <v>Unnamed ProjectOPERADOR_TORNO.NumberSeizedTotal Number SeizedResource</v>
      </c>
      <c r="J96" cm="1">
        <f t="array" ref="J96">MAX(IF((ProjectInfoTable[ProjectName]=OutputTable[[#This Row],[ProjectName]]),(ProjectInfoTable[ProjectName]=OutputTable[[#This Row],[ProjectName]])*ProjectInfoTable[NumberOfReplications]))</f>
        <v>10</v>
      </c>
      <c r="K96" cm="1">
        <f t="array" ref="K96">IFERROR(AVERAGE(IF((OutputTable[GroupByKey]=OutputTable[[#This Row],[GroupByKey]]),(OutputTable[GroupByKey]=OutputTable[[#This Row],[GroupByKey]])*OutputTable[RecordedValue])),0)</f>
        <v>15.6</v>
      </c>
      <c r="L96" cm="1">
        <f t="array" ref="L96">IFERROR(_xlfn.STDEV.S(IF((OutputTable[GroupByKey]=OutputTable[[#This Row],[GroupByKey]]),(OutputTable[GroupByKey]=OutputTable[[#This Row],[GroupByKey]])*OutputTable[RecordedValue])),0)</f>
        <v>2.716206504995117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1.9430570813906995</v>
      </c>
      <c r="O96" cm="1">
        <f t="array" ref="O96">MIN(IF((OutputTable[GroupByKey]=OutputTable[[#This Row],[GroupByKey]]),(OutputTable[GroupByKey]=OutputTable[[#This Row],[GroupByKey]])*OutputTable[RecordedValue]))</f>
        <v>10</v>
      </c>
      <c r="P96" cm="1">
        <f t="array" ref="P96">MAX(IF((OutputTable[GroupByKey]=OutputTable[[#This Row],[GroupByKey]]),(OutputTable[GroupByKey]=OutputTable[[#This Row],[GroupByKey]])*OutputTable[RecordedValue]))</f>
        <v>19</v>
      </c>
    </row>
    <row r="97" spans="1:16" x14ac:dyDescent="0.3">
      <c r="A97" t="s">
        <v>66</v>
      </c>
      <c r="B97" t="s">
        <v>68</v>
      </c>
      <c r="C97">
        <v>7</v>
      </c>
      <c r="D97" t="s">
        <v>101</v>
      </c>
      <c r="E97" t="s">
        <v>97</v>
      </c>
      <c r="F97" t="s">
        <v>86</v>
      </c>
      <c r="G97">
        <v>0.51379543219592505</v>
      </c>
      <c r="H97">
        <v>0</v>
      </c>
      <c r="I97" t="str">
        <f>OutputTable[[#This Row],[ProjectName]]&amp;OutputTable[[#This Row],[Name]]&amp;OutputTable[[#This Row],[Type]]&amp;OutputTable[[#This Row],[Source]]</f>
        <v>Unnamed ProjectOPERADOR_TORNO.ScheduledUtilizationScheduled UtilizationResource</v>
      </c>
      <c r="J97" cm="1">
        <f t="array" ref="J97">MAX(IF((ProjectInfoTable[ProjectName]=OutputTable[[#This Row],[ProjectName]]),(ProjectInfoTable[ProjectName]=OutputTable[[#This Row],[ProjectName]])*ProjectInfoTable[NumberOfReplications]))</f>
        <v>10</v>
      </c>
      <c r="K97" cm="1">
        <f t="array" ref="K97">IFERROR(AVERAGE(IF((OutputTable[GroupByKey]=OutputTable[[#This Row],[GroupByKey]]),(OutputTable[GroupByKey]=OutputTable[[#This Row],[GroupByKey]])*OutputTable[RecordedValue])),0)</f>
        <v>0.82376875514414072</v>
      </c>
      <c r="L97" cm="1">
        <f t="array" ref="L97">IFERROR(_xlfn.STDEV.S(IF((OutputTable[GroupByKey]=OutputTable[[#This Row],[GroupByKey]]),(OutputTable[GroupByKey]=OutputTable[[#This Row],[GroupByKey]])*OutputTable[RecordedValue])),0)</f>
        <v>0.13969928470385456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9.9934848072064403E-2</v>
      </c>
      <c r="O97" cm="1">
        <f t="array" ref="O97">MIN(IF((OutputTable[GroupByKey]=OutputTable[[#This Row],[GroupByKey]]),(OutputTable[GroupByKey]=OutputTable[[#This Row],[GroupByKey]])*OutputTable[RecordedValue]))</f>
        <v>0.51379543219592505</v>
      </c>
      <c r="P97" cm="1">
        <f t="array" ref="P97">MAX(IF((OutputTable[GroupByKey]=OutputTable[[#This Row],[GroupByKey]]),(OutputTable[GroupByKey]=OutputTable[[#This Row],[GroupByKey]])*OutputTable[RecordedValue]))</f>
        <v>0.98397972672724299</v>
      </c>
    </row>
    <row r="98" spans="1:16" x14ac:dyDescent="0.3">
      <c r="A98" t="s">
        <v>66</v>
      </c>
      <c r="B98" t="s">
        <v>68</v>
      </c>
      <c r="C98">
        <v>7</v>
      </c>
      <c r="D98" t="s">
        <v>102</v>
      </c>
      <c r="E98" t="s">
        <v>103</v>
      </c>
      <c r="F98" t="s">
        <v>71</v>
      </c>
      <c r="G98">
        <v>20</v>
      </c>
      <c r="H98">
        <v>0</v>
      </c>
      <c r="I98" t="str">
        <f>OutputTable[[#This Row],[ProjectName]]&amp;OutputTable[[#This Row],[Name]]&amp;OutputTable[[#This Row],[Type]]&amp;OutputTable[[#This Row],[Source]]</f>
        <v>Unnamed ProjectPECA.NumberInNumber InEntity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10</v>
      </c>
      <c r="K98" cm="1">
        <f t="array" ref="K98">IFERROR(AVERAGE(IF((OutputTable[GroupByKey]=OutputTable[[#This Row],[GroupByKey]]),(OutputTable[GroupByKey]=OutputTable[[#This Row],[GroupByKey]])*OutputTable[RecordedValue])),0)</f>
        <v>29.9</v>
      </c>
      <c r="L98" cm="1">
        <f t="array" ref="L98">IFERROR(_xlfn.STDEV.S(IF((OutputTable[GroupByKey]=OutputTable[[#This Row],[GroupByKey]]),(OutputTable[GroupByKey]=OutputTable[[#This Row],[GroupByKey]])*OutputTable[RecordedValue])),0)</f>
        <v>6.4195880795508264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98" cm="1">
        <f t="array" ref="O98">MIN(IF((OutputTable[GroupByKey]=OutputTable[[#This Row],[GroupByKey]]),(OutputTable[GroupByKey]=OutputTable[[#This Row],[GroupByKey]])*OutputTable[RecordedValue]))</f>
        <v>20</v>
      </c>
      <c r="P98" cm="1">
        <f t="array" ref="P98">MAX(IF((OutputTable[GroupByKey]=OutputTable[[#This Row],[GroupByKey]]),(OutputTable[GroupByKey]=OutputTable[[#This Row],[GroupByKey]])*OutputTable[RecordedValue]))</f>
        <v>41</v>
      </c>
    </row>
    <row r="99" spans="1:16" x14ac:dyDescent="0.3">
      <c r="A99" t="s">
        <v>66</v>
      </c>
      <c r="B99" t="s">
        <v>68</v>
      </c>
      <c r="C99">
        <v>7</v>
      </c>
      <c r="D99" t="s">
        <v>104</v>
      </c>
      <c r="E99" t="s">
        <v>105</v>
      </c>
      <c r="F99" t="s">
        <v>71</v>
      </c>
      <c r="G99">
        <v>20</v>
      </c>
      <c r="H99">
        <v>0</v>
      </c>
      <c r="I99" t="str">
        <f>OutputTable[[#This Row],[ProjectName]]&amp;OutputTable[[#This Row],[Name]]&amp;OutputTable[[#This Row],[Type]]&amp;OutputTable[[#This Row],[Source]]</f>
        <v>Unnamed ProjectPECA.NumberOutNumber OutEntity</v>
      </c>
      <c r="J99" cm="1">
        <f t="array" ref="J99">MAX(IF((ProjectInfoTable[ProjectName]=OutputTable[[#This Row],[ProjectName]]),(ProjectInfoTable[ProjectName]=OutputTable[[#This Row],[ProjectName]])*ProjectInfoTable[NumberOfReplications]))</f>
        <v>10</v>
      </c>
      <c r="K99" cm="1">
        <f t="array" ref="K99">IFERROR(AVERAGE(IF((OutputTable[GroupByKey]=OutputTable[[#This Row],[GroupByKey]]),(OutputTable[GroupByKey]=OutputTable[[#This Row],[GroupByKey]])*OutputTable[RecordedValue])),0)</f>
        <v>29.9</v>
      </c>
      <c r="L99" cm="1">
        <f t="array" ref="L99">IFERROR(_xlfn.STDEV.S(IF((OutputTable[GroupByKey]=OutputTable[[#This Row],[GroupByKey]]),(OutputTable[GroupByKey]=OutputTable[[#This Row],[GroupByKey]])*OutputTable[RecordedValue])),0)</f>
        <v>6.4195880795508264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99" cm="1">
        <f t="array" ref="O99">MIN(IF((OutputTable[GroupByKey]=OutputTable[[#This Row],[GroupByKey]]),(OutputTable[GroupByKey]=OutputTable[[#This Row],[GroupByKey]])*OutputTable[RecordedValue]))</f>
        <v>20</v>
      </c>
      <c r="P99" cm="1">
        <f t="array" ref="P99">MAX(IF((OutputTable[GroupByKey]=OutputTable[[#This Row],[GroupByKey]]),(OutputTable[GroupByKey]=OutputTable[[#This Row],[GroupByKey]])*OutputTable[RecordedValue]))</f>
        <v>41</v>
      </c>
    </row>
    <row r="100" spans="1:16" x14ac:dyDescent="0.3">
      <c r="A100" t="s">
        <v>66</v>
      </c>
      <c r="B100" t="s">
        <v>68</v>
      </c>
      <c r="C100">
        <v>7</v>
      </c>
      <c r="D100" t="s">
        <v>106</v>
      </c>
      <c r="E100" t="s">
        <v>103</v>
      </c>
      <c r="F100" t="s">
        <v>71</v>
      </c>
      <c r="G100">
        <v>7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ProjectPICTURE_AZUL.NumberInNumber InEntity</v>
      </c>
      <c r="J100" cm="1">
        <f t="array" ref="J100">MAX(IF((ProjectInfoTable[ProjectName]=OutputTable[[#This Row],[ProjectName]]),(ProjectInfoTable[ProjectName]=OutputTable[[#This Row],[ProjectName]])*ProjectInfoTable[NumberOfReplications]))</f>
        <v>10</v>
      </c>
      <c r="K100" cm="1">
        <f t="array" ref="K100">IFERROR(AVERAGE(IF((OutputTable[GroupByKey]=OutputTable[[#This Row],[GroupByKey]]),(OutputTable[GroupByKey]=OutputTable[[#This Row],[GroupByKey]])*OutputTable[RecordedValue])),0)</f>
        <v>13.3</v>
      </c>
      <c r="L100" cm="1">
        <f t="array" ref="L100">IFERROR(_xlfn.STDEV.S(IF((OutputTable[GroupByKey]=OutputTable[[#This Row],[GroupByKey]]),(OutputTable[GroupByKey]=OutputTable[[#This Row],[GroupByKey]])*OutputTable[RecordedValue])),0)</f>
        <v>4.2700507413066324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3.0546102866388556</v>
      </c>
      <c r="O100" cm="1">
        <f t="array" ref="O100">MIN(IF((OutputTable[GroupByKey]=OutputTable[[#This Row],[GroupByKey]]),(OutputTable[GroupByKey]=OutputTable[[#This Row],[GroupByKey]])*OutputTable[RecordedValue]))</f>
        <v>7</v>
      </c>
      <c r="P100" cm="1">
        <f t="array" ref="P100">MAX(IF((OutputTable[GroupByKey]=OutputTable[[#This Row],[GroupByKey]]),(OutputTable[GroupByKey]=OutputTable[[#This Row],[GroupByKey]])*OutputTable[RecordedValue]))</f>
        <v>20</v>
      </c>
    </row>
    <row r="101" spans="1:16" x14ac:dyDescent="0.3">
      <c r="A101" t="s">
        <v>66</v>
      </c>
      <c r="B101" t="s">
        <v>68</v>
      </c>
      <c r="C101">
        <v>7</v>
      </c>
      <c r="D101" t="s">
        <v>107</v>
      </c>
      <c r="E101" t="s">
        <v>105</v>
      </c>
      <c r="F101" t="s">
        <v>71</v>
      </c>
      <c r="G101">
        <v>6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ProjectPICTURE_AZUL.NumberOutNumber OutEntity</v>
      </c>
      <c r="J101" cm="1">
        <f t="array" ref="J101">MAX(IF((ProjectInfoTable[ProjectName]=OutputTable[[#This Row],[ProjectName]]),(ProjectInfoTable[ProjectName]=OutputTable[[#This Row],[ProjectName]])*ProjectInfoTable[NumberOfReplications]))</f>
        <v>10</v>
      </c>
      <c r="K101" cm="1">
        <f t="array" ref="K101">IFERROR(AVERAGE(IF((OutputTable[GroupByKey]=OutputTable[[#This Row],[GroupByKey]]),(OutputTable[GroupByKey]=OutputTable[[#This Row],[GroupByKey]])*OutputTable[RecordedValue])),0)</f>
        <v>10.6</v>
      </c>
      <c r="L101" cm="1">
        <f t="array" ref="L101">IFERROR(_xlfn.STDEV.S(IF((OutputTable[GroupByKey]=OutputTable[[#This Row],[GroupByKey]]),(OutputTable[GroupByKey]=OutputTable[[#This Row],[GroupByKey]])*OutputTable[RecordedValue])),0)</f>
        <v>2.2705848487901892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1.6242785521744192</v>
      </c>
      <c r="O101" cm="1">
        <f t="array" ref="O101">MIN(IF((OutputTable[GroupByKey]=OutputTable[[#This Row],[GroupByKey]]),(OutputTable[GroupByKey]=OutputTable[[#This Row],[GroupByKey]])*OutputTable[RecordedValue]))</f>
        <v>6</v>
      </c>
      <c r="P101" cm="1">
        <f t="array" ref="P101">MAX(IF((OutputTable[GroupByKey]=OutputTable[[#This Row],[GroupByKey]]),(OutputTable[GroupByKey]=OutputTable[[#This Row],[GroupByKey]])*OutputTable[RecordedValue]))</f>
        <v>13</v>
      </c>
    </row>
    <row r="102" spans="1:16" x14ac:dyDescent="0.3">
      <c r="A102" t="s">
        <v>66</v>
      </c>
      <c r="B102" t="s">
        <v>68</v>
      </c>
      <c r="C102">
        <v>7</v>
      </c>
      <c r="D102" t="s">
        <v>108</v>
      </c>
      <c r="E102" t="s">
        <v>103</v>
      </c>
      <c r="F102" t="s">
        <v>71</v>
      </c>
      <c r="G102">
        <v>10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ProjectPICTURE_VERDE.NumberInNumber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10</v>
      </c>
      <c r="K102" cm="1">
        <f t="array" ref="K102">IFERROR(AVERAGE(IF((OutputTable[GroupByKey]=OutputTable[[#This Row],[GroupByKey]]),(OutputTable[GroupByKey]=OutputTable[[#This Row],[GroupByKey]])*OutputTable[RecordedValue])),0)</f>
        <v>11.1</v>
      </c>
      <c r="L102" cm="1">
        <f t="array" ref="L102">IFERROR(_xlfn.STDEV.S(IF((OutputTable[GroupByKey]=OutputTable[[#This Row],[GroupByKey]]),(OutputTable[GroupByKey]=OutputTable[[#This Row],[GroupByKey]])*OutputTable[RecordedValue])),0)</f>
        <v>2.726414006223806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1.9503590878873462</v>
      </c>
      <c r="O102" cm="1">
        <f t="array" ref="O102">MIN(IF((OutputTable[GroupByKey]=OutputTable[[#This Row],[GroupByKey]]),(OutputTable[GroupByKey]=OutputTable[[#This Row],[GroupByKey]])*OutputTable[RecordedValue]))</f>
        <v>8</v>
      </c>
      <c r="P102" cm="1">
        <f t="array" ref="P102">MAX(IF((OutputTable[GroupByKey]=OutputTable[[#This Row],[GroupByKey]]),(OutputTable[GroupByKey]=OutputTable[[#This Row],[GroupByKey]])*OutputTable[RecordedValue]))</f>
        <v>16</v>
      </c>
    </row>
    <row r="103" spans="1:16" x14ac:dyDescent="0.3">
      <c r="A103" t="s">
        <v>66</v>
      </c>
      <c r="B103" t="s">
        <v>68</v>
      </c>
      <c r="C103">
        <v>7</v>
      </c>
      <c r="D103" t="s">
        <v>109</v>
      </c>
      <c r="E103" t="s">
        <v>105</v>
      </c>
      <c r="F103" t="s">
        <v>71</v>
      </c>
      <c r="G103">
        <v>8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ProjectPICTURE_VERDE.NumberOutNumber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10</v>
      </c>
      <c r="K103" cm="1">
        <f t="array" ref="K103">IFERROR(AVERAGE(IF((OutputTable[GroupByKey]=OutputTable[[#This Row],[GroupByKey]]),(OutputTable[GroupByKey]=OutputTable[[#This Row],[GroupByKey]])*OutputTable[RecordedValue])),0)</f>
        <v>8.9</v>
      </c>
      <c r="L103" cm="1">
        <f t="array" ref="L103">IFERROR(_xlfn.STDEV.S(IF((OutputTable[GroupByKey]=OutputTable[[#This Row],[GroupByKey]]),(OutputTable[GroupByKey]=OutputTable[[#This Row],[GroupByKey]])*OutputTable[RecordedValue])),0)</f>
        <v>2.4244128727957572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1.7343204914786237</v>
      </c>
      <c r="O103" cm="1">
        <f t="array" ref="O103">MIN(IF((OutputTable[GroupByKey]=OutputTable[[#This Row],[GroupByKey]]),(OutputTable[GroupByKey]=OutputTable[[#This Row],[GroupByKey]])*OutputTable[RecordedValue]))</f>
        <v>6</v>
      </c>
      <c r="P103" cm="1">
        <f t="array" ref="P103">MAX(IF((OutputTable[GroupByKey]=OutputTable[[#This Row],[GroupByKey]]),(OutputTable[GroupByKey]=OutputTable[[#This Row],[GroupByKey]])*OutputTable[RecordedValue]))</f>
        <v>14</v>
      </c>
    </row>
    <row r="104" spans="1:16" x14ac:dyDescent="0.3">
      <c r="A104" t="s">
        <v>66</v>
      </c>
      <c r="B104" t="s">
        <v>68</v>
      </c>
      <c r="C104">
        <v>7</v>
      </c>
      <c r="D104" t="s">
        <v>110</v>
      </c>
      <c r="E104" t="s">
        <v>103</v>
      </c>
      <c r="F104" t="s">
        <v>71</v>
      </c>
      <c r="G104">
        <v>3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ProjectPICTURE_VERMELHO.NumberInNumber InEntity</v>
      </c>
      <c r="J104" cm="1">
        <f t="array" ref="J104">MAX(IF((ProjectInfoTable[ProjectName]=OutputTable[[#This Row],[ProjectName]]),(ProjectInfoTable[ProjectName]=OutputTable[[#This Row],[ProjectName]])*ProjectInfoTable[NumberOfReplications]))</f>
        <v>10</v>
      </c>
      <c r="K104" cm="1">
        <f t="array" ref="K104">IFERROR(AVERAGE(IF((OutputTable[GroupByKey]=OutputTable[[#This Row],[GroupByKey]]),(OutputTable[GroupByKey]=OutputTable[[#This Row],[GroupByKey]])*OutputTable[RecordedValue])),0)</f>
        <v>5.5</v>
      </c>
      <c r="L104" cm="1">
        <f t="array" ref="L104">IFERROR(_xlfn.STDEV.S(IF((OutputTable[GroupByKey]=OutputTable[[#This Row],[GroupByKey]]),(OutputTable[GroupByKey]=OutputTable[[#This Row],[GroupByKey]])*OutputTable[RecordedValue])),0)</f>
        <v>2.0138409955990952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1.4406150637286517</v>
      </c>
      <c r="O104" cm="1">
        <f t="array" ref="O104">MIN(IF((OutputTable[GroupByKey]=OutputTable[[#This Row],[GroupByKey]]),(OutputTable[GroupByKey]=OutputTable[[#This Row],[GroupByKey]])*OutputTable[RecordedValue]))</f>
        <v>3</v>
      </c>
      <c r="P104" cm="1">
        <f t="array" ref="P104">MAX(IF((OutputTable[GroupByKey]=OutputTable[[#This Row],[GroupByKey]]),(OutputTable[GroupByKey]=OutputTable[[#This Row],[GroupByKey]])*OutputTable[RecordedValue]))</f>
        <v>9</v>
      </c>
    </row>
    <row r="105" spans="1:16" x14ac:dyDescent="0.3">
      <c r="A105" t="s">
        <v>66</v>
      </c>
      <c r="B105" t="s">
        <v>68</v>
      </c>
      <c r="C105">
        <v>7</v>
      </c>
      <c r="D105" t="s">
        <v>111</v>
      </c>
      <c r="E105" t="s">
        <v>105</v>
      </c>
      <c r="F105" t="s">
        <v>71</v>
      </c>
      <c r="G105">
        <v>3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ProjectPICTURE_VERMELHO.NumberOutNumber OutEntity</v>
      </c>
      <c r="J105" cm="1">
        <f t="array" ref="J105">MAX(IF((ProjectInfoTable[ProjectName]=OutputTable[[#This Row],[ProjectName]]),(ProjectInfoTable[ProjectName]=OutputTable[[#This Row],[ProjectName]])*ProjectInfoTable[NumberOfReplications]))</f>
        <v>10</v>
      </c>
      <c r="K105" cm="1">
        <f t="array" ref="K105">IFERROR(AVERAGE(IF((OutputTable[GroupByKey]=OutputTable[[#This Row],[GroupByKey]]),(OutputTable[GroupByKey]=OutputTable[[#This Row],[GroupByKey]])*OutputTable[RecordedValue])),0)</f>
        <v>3.6</v>
      </c>
      <c r="L105" cm="1">
        <f t="array" ref="L105">IFERROR(_xlfn.STDEV.S(IF((OutputTable[GroupByKey]=OutputTable[[#This Row],[GroupByKey]]),(OutputTable[GroupByKey]=OutputTable[[#This Row],[GroupByKey]])*OutputTable[RecordedValue])),0)</f>
        <v>0.84327404271156814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0.60324191007952155</v>
      </c>
      <c r="O105" cm="1">
        <f t="array" ref="O105">MIN(IF((OutputTable[GroupByKey]=OutputTable[[#This Row],[GroupByKey]]),(OutputTable[GroupByKey]=OutputTable[[#This Row],[GroupByKey]])*OutputTable[RecordedValue]))</f>
        <v>3</v>
      </c>
      <c r="P105" cm="1">
        <f t="array" ref="P105">MAX(IF((OutputTable[GroupByKey]=OutputTable[[#This Row],[GroupByKey]]),(OutputTable[GroupByKey]=OutputTable[[#This Row],[GroupByKey]])*OutputTable[RecordedValue]))</f>
        <v>5</v>
      </c>
    </row>
    <row r="106" spans="1:16" x14ac:dyDescent="0.3">
      <c r="A106" t="s">
        <v>66</v>
      </c>
      <c r="B106" t="s">
        <v>68</v>
      </c>
      <c r="C106">
        <v>7</v>
      </c>
      <c r="D106" t="s">
        <v>112</v>
      </c>
      <c r="E106" t="s">
        <v>105</v>
      </c>
      <c r="F106" t="s">
        <v>113</v>
      </c>
      <c r="G106">
        <v>17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10</v>
      </c>
      <c r="K106" cm="1">
        <f t="array" ref="K106">IFERROR(AVERAGE(IF((OutputTable[GroupByKey]=OutputTable[[#This Row],[GroupByKey]]),(OutputTable[GroupByKey]=OutputTable[[#This Row],[GroupByKey]])*OutputTable[RecordedValue])),0)</f>
        <v>23.1</v>
      </c>
      <c r="L106" cm="1">
        <f t="array" ref="L106">IFERROR(_xlfn.STDEV.S(IF((OutputTable[GroupByKey]=OutputTable[[#This Row],[GroupByKey]]),(OutputTable[GroupByKey]=OutputTable[[#This Row],[GroupByKey]])*OutputTable[RecordedValue])),0)</f>
        <v>3.4785054261852113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2.4883728790780211</v>
      </c>
      <c r="O106" cm="1">
        <f t="array" ref="O106">MIN(IF((OutputTable[GroupByKey]=OutputTable[[#This Row],[GroupByKey]]),(OutputTable[GroupByKey]=OutputTable[[#This Row],[GroupByKey]])*OutputTable[RecordedValue]))</f>
        <v>17</v>
      </c>
      <c r="P106" cm="1">
        <f t="array" ref="P106">MAX(IF((OutputTable[GroupByKey]=OutputTable[[#This Row],[GroupByKey]]),(OutputTable[GroupByKey]=OutputTable[[#This Row],[GroupByKey]])*OutputTable[RecordedValue]))</f>
        <v>28</v>
      </c>
    </row>
    <row r="107" spans="1:16" x14ac:dyDescent="0.3">
      <c r="A107" t="s">
        <v>66</v>
      </c>
      <c r="B107" t="s">
        <v>68</v>
      </c>
      <c r="C107">
        <v>8</v>
      </c>
      <c r="D107" t="s">
        <v>94</v>
      </c>
      <c r="E107" t="s">
        <v>95</v>
      </c>
      <c r="F107" t="s">
        <v>86</v>
      </c>
      <c r="G107">
        <v>14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ProjectOPERADOR_CORTE.NumberSeizedTotal Number SeizedResource</v>
      </c>
      <c r="J107" cm="1">
        <f t="array" ref="J107">MAX(IF((ProjectInfoTable[ProjectName]=OutputTable[[#This Row],[ProjectName]]),(ProjectInfoTable[ProjectName]=OutputTable[[#This Row],[ProjectName]])*ProjectInfoTable[NumberOfReplications]))</f>
        <v>10</v>
      </c>
      <c r="K107" cm="1">
        <f t="array" ref="K107">IFERROR(AVERAGE(IF((OutputTable[GroupByKey]=OutputTable[[#This Row],[GroupByKey]]),(OutputTable[GroupByKey]=OutputTable[[#This Row],[GroupByKey]])*OutputTable[RecordedValue])),0)</f>
        <v>15.9</v>
      </c>
      <c r="L107" cm="1">
        <f t="array" ref="L107">IFERROR(_xlfn.STDEV.S(IF((OutputTable[GroupByKey]=OutputTable[[#This Row],[GroupByKey]]),(OutputTable[GroupByKey]=OutputTable[[#This Row],[GroupByKey]])*OutputTable[RecordedValue])),0)</f>
        <v>3.247221034122016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2.3229219919723874</v>
      </c>
      <c r="O107" cm="1">
        <f t="array" ref="O107">MIN(IF((OutputTable[GroupByKey]=OutputTable[[#This Row],[GroupByKey]]),(OutputTable[GroupByKey]=OutputTable[[#This Row],[GroupByKey]])*OutputTable[RecordedValue]))</f>
        <v>12</v>
      </c>
      <c r="P107" cm="1">
        <f t="array" ref="P107">MAX(IF((OutputTable[GroupByKey]=OutputTable[[#This Row],[GroupByKey]]),(OutputTable[GroupByKey]=OutputTable[[#This Row],[GroupByKey]])*OutputTable[RecordedValue]))</f>
        <v>21</v>
      </c>
    </row>
    <row r="108" spans="1:16" x14ac:dyDescent="0.3">
      <c r="A108" t="s">
        <v>66</v>
      </c>
      <c r="B108" t="s">
        <v>68</v>
      </c>
      <c r="C108">
        <v>8</v>
      </c>
      <c r="D108" t="s">
        <v>96</v>
      </c>
      <c r="E108" t="s">
        <v>97</v>
      </c>
      <c r="F108" t="s">
        <v>86</v>
      </c>
      <c r="G108">
        <v>0.57604223450418501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ProjectOPERADOR_CORTE.ScheduledUtilizationScheduled UtilizationResource</v>
      </c>
      <c r="J108" cm="1">
        <f t="array" ref="J108">MAX(IF((ProjectInfoTable[ProjectName]=OutputTable[[#This Row],[ProjectName]]),(ProjectInfoTable[ProjectName]=OutputTable[[#This Row],[ProjectName]])*ProjectInfoTable[NumberOfReplications]))</f>
        <v>10</v>
      </c>
      <c r="K108" cm="1">
        <f t="array" ref="K108">IFERROR(AVERAGE(IF((OutputTable[GroupByKey]=OutputTable[[#This Row],[GroupByKey]]),(OutputTable[GroupByKey]=OutputTable[[#This Row],[GroupByKey]])*OutputTable[RecordedValue])),0)</f>
        <v>0.66328097868598235</v>
      </c>
      <c r="L108" cm="1">
        <f t="array" ref="L108">IFERROR(_xlfn.STDEV.S(IF((OutputTable[GroupByKey]=OutputTable[[#This Row],[GroupByKey]]),(OutputTable[GroupByKey]=OutputTable[[#This Row],[GroupByKey]])*OutputTable[RecordedValue])),0)</f>
        <v>0.13309360211006072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9.5209427409943759E-2</v>
      </c>
      <c r="O108" cm="1">
        <f t="array" ref="O108">MIN(IF((OutputTable[GroupByKey]=OutputTable[[#This Row],[GroupByKey]]),(OutputTable[GroupByKey]=OutputTable[[#This Row],[GroupByKey]])*OutputTable[RecordedValue]))</f>
        <v>0.50548165778050103</v>
      </c>
      <c r="P108" cm="1">
        <f t="array" ref="P108">MAX(IF((OutputTable[GroupByKey]=OutputTable[[#This Row],[GroupByKey]]),(OutputTable[GroupByKey]=OutputTable[[#This Row],[GroupByKey]])*OutputTable[RecordedValue]))</f>
        <v>0.90373198712706704</v>
      </c>
    </row>
    <row r="109" spans="1:16" x14ac:dyDescent="0.3">
      <c r="A109" t="s">
        <v>66</v>
      </c>
      <c r="B109" t="s">
        <v>68</v>
      </c>
      <c r="C109">
        <v>8</v>
      </c>
      <c r="D109" t="s">
        <v>98</v>
      </c>
      <c r="E109" t="s">
        <v>95</v>
      </c>
      <c r="F109" t="s">
        <v>86</v>
      </c>
      <c r="G109">
        <v>11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ProjectOPERADOR_LIXADEIRA.NumberSeizedTotal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10</v>
      </c>
      <c r="K109" cm="1">
        <f t="array" ref="K109">IFERROR(AVERAGE(IF((OutputTable[GroupByKey]=OutputTable[[#This Row],[GroupByKey]]),(OutputTable[GroupByKey]=OutputTable[[#This Row],[GroupByKey]])*OutputTable[RecordedValue])),0)</f>
        <v>13.4</v>
      </c>
      <c r="L109" cm="1">
        <f t="array" ref="L109">IFERROR(_xlfn.STDEV.S(IF((OutputTable[GroupByKey]=OutputTable[[#This Row],[GroupByKey]]),(OutputTable[GroupByKey]=OutputTable[[#This Row],[GroupByKey]])*OutputTable[RecordedValue])),0)</f>
        <v>2.1186998109427626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1.5156265414366468</v>
      </c>
      <c r="O109" cm="1">
        <f t="array" ref="O109">MIN(IF((OutputTable[GroupByKey]=OutputTable[[#This Row],[GroupByKey]]),(OutputTable[GroupByKey]=OutputTable[[#This Row],[GroupByKey]])*OutputTable[RecordedValue]))</f>
        <v>11</v>
      </c>
      <c r="P109" cm="1">
        <f t="array" ref="P109">MAX(IF((OutputTable[GroupByKey]=OutputTable[[#This Row],[GroupByKey]]),(OutputTable[GroupByKey]=OutputTable[[#This Row],[GroupByKey]])*OutputTable[RecordedValue]))</f>
        <v>18</v>
      </c>
    </row>
    <row r="110" spans="1:16" x14ac:dyDescent="0.3">
      <c r="A110" t="s">
        <v>66</v>
      </c>
      <c r="B110" t="s">
        <v>68</v>
      </c>
      <c r="C110">
        <v>8</v>
      </c>
      <c r="D110" t="s">
        <v>99</v>
      </c>
      <c r="E110" t="s">
        <v>97</v>
      </c>
      <c r="F110" t="s">
        <v>86</v>
      </c>
      <c r="G110">
        <v>0.48262851817987601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ProjectOPERADOR_LIXADEIRA.ScheduledUtilizationScheduled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10</v>
      </c>
      <c r="K110" cm="1">
        <f t="array" ref="K110">IFERROR(AVERAGE(IF((OutputTable[GroupByKey]=OutputTable[[#This Row],[GroupByKey]]),(OutputTable[GroupByKey]=OutputTable[[#This Row],[GroupByKey]])*OutputTable[RecordedValue])),0)</f>
        <v>0.61388612230942741</v>
      </c>
      <c r="L110" cm="1">
        <f t="array" ref="L110">IFERROR(_xlfn.STDEV.S(IF((OutputTable[GroupByKey]=OutputTable[[#This Row],[GroupByKey]]),(OutputTable[GroupByKey]=OutputTable[[#This Row],[GroupByKey]])*OutputTable[RecordedValue])),0)</f>
        <v>0.11265505672935852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8.0588572823863613E-2</v>
      </c>
      <c r="O110" cm="1">
        <f t="array" ref="O110">MIN(IF((OutputTable[GroupByKey]=OutputTable[[#This Row],[GroupByKey]]),(OutputTable[GroupByKey]=OutputTable[[#This Row],[GroupByKey]])*OutputTable[RecordedValue]))</f>
        <v>0.48262851817987601</v>
      </c>
      <c r="P110" cm="1">
        <f t="array" ref="P110">MAX(IF((OutputTable[GroupByKey]=OutputTable[[#This Row],[GroupByKey]]),(OutputTable[GroupByKey]=OutputTable[[#This Row],[GroupByKey]])*OutputTable[RecordedValue]))</f>
        <v>0.85064625227951796</v>
      </c>
    </row>
    <row r="111" spans="1:16" x14ac:dyDescent="0.3">
      <c r="A111" t="s">
        <v>66</v>
      </c>
      <c r="B111" t="s">
        <v>68</v>
      </c>
      <c r="C111">
        <v>8</v>
      </c>
      <c r="D111" t="s">
        <v>100</v>
      </c>
      <c r="E111" t="s">
        <v>95</v>
      </c>
      <c r="F111" t="s">
        <v>86</v>
      </c>
      <c r="G111">
        <v>13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ProjectOPERADOR_TORNO.NumberSeizedTotal Number SeizedResource</v>
      </c>
      <c r="J111" cm="1">
        <f t="array" ref="J111">MAX(IF((ProjectInfoTable[ProjectName]=OutputTable[[#This Row],[ProjectName]]),(ProjectInfoTable[ProjectName]=OutputTable[[#This Row],[ProjectName]])*ProjectInfoTable[NumberOfReplications]))</f>
        <v>10</v>
      </c>
      <c r="K111" cm="1">
        <f t="array" ref="K111">IFERROR(AVERAGE(IF((OutputTable[GroupByKey]=OutputTable[[#This Row],[GroupByKey]]),(OutputTable[GroupByKey]=OutputTable[[#This Row],[GroupByKey]])*OutputTable[RecordedValue])),0)</f>
        <v>15.6</v>
      </c>
      <c r="L111" cm="1">
        <f t="array" ref="L111">IFERROR(_xlfn.STDEV.S(IF((OutputTable[GroupByKey]=OutputTable[[#This Row],[GroupByKey]]),(OutputTable[GroupByKey]=OutputTable[[#This Row],[GroupByKey]])*OutputTable[RecordedValue])),0)</f>
        <v>2.716206504995117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1.9430570813906995</v>
      </c>
      <c r="O111" cm="1">
        <f t="array" ref="O111">MIN(IF((OutputTable[GroupByKey]=OutputTable[[#This Row],[GroupByKey]]),(OutputTable[GroupByKey]=OutputTable[[#This Row],[GroupByKey]])*OutputTable[RecordedValue]))</f>
        <v>10</v>
      </c>
      <c r="P111" cm="1">
        <f t="array" ref="P111">MAX(IF((OutputTable[GroupByKey]=OutputTable[[#This Row],[GroupByKey]]),(OutputTable[GroupByKey]=OutputTable[[#This Row],[GroupByKey]])*OutputTable[RecordedValue]))</f>
        <v>19</v>
      </c>
    </row>
    <row r="112" spans="1:16" x14ac:dyDescent="0.3">
      <c r="A112" t="s">
        <v>66</v>
      </c>
      <c r="B112" t="s">
        <v>68</v>
      </c>
      <c r="C112">
        <v>8</v>
      </c>
      <c r="D112" t="s">
        <v>101</v>
      </c>
      <c r="E112" t="s">
        <v>97</v>
      </c>
      <c r="F112" t="s">
        <v>86</v>
      </c>
      <c r="G112">
        <v>0.76192402816309501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ProjectOPERADOR_TORNO.ScheduledUtilizationScheduled UtilizationResource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10</v>
      </c>
      <c r="K112" s="5" cm="1">
        <f t="array" ref="K112">IFERROR(AVERAGE(IF((OutputTable[GroupByKey]=OutputTable[[#This Row],[GroupByKey]]),(OutputTable[GroupByKey]=OutputTable[[#This Row],[GroupByKey]])*OutputTable[RecordedValue])),0)</f>
        <v>0.82376875514414072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0.13969928470385456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9.9934848072064403E-2</v>
      </c>
      <c r="O112" s="5" cm="1">
        <f t="array" ref="O112">MIN(IF((OutputTable[GroupByKey]=OutputTable[[#This Row],[GroupByKey]]),(OutputTable[GroupByKey]=OutputTable[[#This Row],[GroupByKey]])*OutputTable[RecordedValue]))</f>
        <v>0.51379543219592505</v>
      </c>
      <c r="P112" s="5" cm="1">
        <f t="array" ref="P112">MAX(IF((OutputTable[GroupByKey]=OutputTable[[#This Row],[GroupByKey]]),(OutputTable[GroupByKey]=OutputTable[[#This Row],[GroupByKey]])*OutputTable[RecordedValue]))</f>
        <v>0.98397972672724299</v>
      </c>
    </row>
    <row r="113" spans="1:16" x14ac:dyDescent="0.3">
      <c r="A113" t="s">
        <v>66</v>
      </c>
      <c r="B113" t="s">
        <v>68</v>
      </c>
      <c r="C113">
        <v>8</v>
      </c>
      <c r="D113" t="s">
        <v>102</v>
      </c>
      <c r="E113" t="s">
        <v>103</v>
      </c>
      <c r="F113" t="s">
        <v>71</v>
      </c>
      <c r="G113">
        <v>23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ProjectPECA.NumberInNumber InEntity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10</v>
      </c>
      <c r="K113" s="5" cm="1">
        <f t="array" ref="K113">IFERROR(AVERAGE(IF((OutputTable[GroupByKey]=OutputTable[[#This Row],[GroupByKey]]),(OutputTable[GroupByKey]=OutputTable[[#This Row],[GroupByKey]])*OutputTable[RecordedValue])),0)</f>
        <v>29.9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6.4195880795508264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113" s="5" cm="1">
        <f t="array" ref="O113">MIN(IF((OutputTable[GroupByKey]=OutputTable[[#This Row],[GroupByKey]]),(OutputTable[GroupByKey]=OutputTable[[#This Row],[GroupByKey]])*OutputTable[RecordedValue]))</f>
        <v>20</v>
      </c>
      <c r="P113" s="5" cm="1">
        <f t="array" ref="P113">MAX(IF((OutputTable[GroupByKey]=OutputTable[[#This Row],[GroupByKey]]),(OutputTable[GroupByKey]=OutputTable[[#This Row],[GroupByKey]])*OutputTable[RecordedValue]))</f>
        <v>41</v>
      </c>
    </row>
    <row r="114" spans="1:16" x14ac:dyDescent="0.3">
      <c r="A114" t="s">
        <v>66</v>
      </c>
      <c r="B114" t="s">
        <v>68</v>
      </c>
      <c r="C114">
        <v>8</v>
      </c>
      <c r="D114" t="s">
        <v>104</v>
      </c>
      <c r="E114" t="s">
        <v>105</v>
      </c>
      <c r="F114" t="s">
        <v>71</v>
      </c>
      <c r="G114">
        <v>23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ProjectPECA.NumberOutNumber OutEntity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10</v>
      </c>
      <c r="K114" s="5" cm="1">
        <f t="array" ref="K114">IFERROR(AVERAGE(IF((OutputTable[GroupByKey]=OutputTable[[#This Row],[GroupByKey]]),(OutputTable[GroupByKey]=OutputTable[[#This Row],[GroupByKey]])*OutputTable[RecordedValue])),0)</f>
        <v>29.9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6.4195880795508264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114" s="5" cm="1">
        <f t="array" ref="O114">MIN(IF((OutputTable[GroupByKey]=OutputTable[[#This Row],[GroupByKey]]),(OutputTable[GroupByKey]=OutputTable[[#This Row],[GroupByKey]])*OutputTable[RecordedValue]))</f>
        <v>20</v>
      </c>
      <c r="P114" s="5" cm="1">
        <f t="array" ref="P114">MAX(IF((OutputTable[GroupByKey]=OutputTable[[#This Row],[GroupByKey]]),(OutputTable[GroupByKey]=OutputTable[[#This Row],[GroupByKey]])*OutputTable[RecordedValue]))</f>
        <v>41</v>
      </c>
    </row>
    <row r="115" spans="1:16" x14ac:dyDescent="0.3">
      <c r="A115" t="s">
        <v>66</v>
      </c>
      <c r="B115" t="s">
        <v>68</v>
      </c>
      <c r="C115">
        <v>8</v>
      </c>
      <c r="D115" t="s">
        <v>106</v>
      </c>
      <c r="E115" t="s">
        <v>103</v>
      </c>
      <c r="F115" t="s">
        <v>71</v>
      </c>
      <c r="G115">
        <v>8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ProjectPICTURE_AZUL.NumberInNumber InEntity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10</v>
      </c>
      <c r="K115" s="5" cm="1">
        <f t="array" ref="K115">IFERROR(AVERAGE(IF((OutputTable[GroupByKey]=OutputTable[[#This Row],[GroupByKey]]),(OutputTable[GroupByKey]=OutputTable[[#This Row],[GroupByKey]])*OutputTable[RecordedValue])),0)</f>
        <v>13.3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4.2700507413066324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3.0546102866388556</v>
      </c>
      <c r="O115" s="5" cm="1">
        <f t="array" ref="O115">MIN(IF((OutputTable[GroupByKey]=OutputTable[[#This Row],[GroupByKey]]),(OutputTable[GroupByKey]=OutputTable[[#This Row],[GroupByKey]])*OutputTable[RecordedValue]))</f>
        <v>7</v>
      </c>
      <c r="P115" s="5" cm="1">
        <f t="array" ref="P115">MAX(IF((OutputTable[GroupByKey]=OutputTable[[#This Row],[GroupByKey]]),(OutputTable[GroupByKey]=OutputTable[[#This Row],[GroupByKey]])*OutputTable[RecordedValue]))</f>
        <v>20</v>
      </c>
    </row>
    <row r="116" spans="1:16" x14ac:dyDescent="0.3">
      <c r="A116" t="s">
        <v>66</v>
      </c>
      <c r="B116" t="s">
        <v>68</v>
      </c>
      <c r="C116">
        <v>8</v>
      </c>
      <c r="D116" t="s">
        <v>107</v>
      </c>
      <c r="E116" t="s">
        <v>105</v>
      </c>
      <c r="F116" t="s">
        <v>71</v>
      </c>
      <c r="G116">
        <v>8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ProjectPICTURE_AZUL.NumberOutNumber OutEntity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10</v>
      </c>
      <c r="K116" s="5" cm="1">
        <f t="array" ref="K116">IFERROR(AVERAGE(IF((OutputTable[GroupByKey]=OutputTable[[#This Row],[GroupByKey]]),(OutputTable[GroupByKey]=OutputTable[[#This Row],[GroupByKey]])*OutputTable[RecordedValue])),0)</f>
        <v>10.6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2.2705848487901892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1.6242785521744192</v>
      </c>
      <c r="O116" s="5" cm="1">
        <f t="array" ref="O116">MIN(IF((OutputTable[GroupByKey]=OutputTable[[#This Row],[GroupByKey]]),(OutputTable[GroupByKey]=OutputTable[[#This Row],[GroupByKey]])*OutputTable[RecordedValue]))</f>
        <v>6</v>
      </c>
      <c r="P116" s="5" cm="1">
        <f t="array" ref="P116">MAX(IF((OutputTable[GroupByKey]=OutputTable[[#This Row],[GroupByKey]]),(OutputTable[GroupByKey]=OutputTable[[#This Row],[GroupByKey]])*OutputTable[RecordedValue]))</f>
        <v>13</v>
      </c>
    </row>
    <row r="117" spans="1:16" x14ac:dyDescent="0.3">
      <c r="A117" t="s">
        <v>66</v>
      </c>
      <c r="B117" t="s">
        <v>68</v>
      </c>
      <c r="C117">
        <v>8</v>
      </c>
      <c r="D117" t="s">
        <v>108</v>
      </c>
      <c r="E117" t="s">
        <v>103</v>
      </c>
      <c r="F117" t="s">
        <v>71</v>
      </c>
      <c r="G117">
        <v>9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ProjectPICTURE_VERDE.NumberInNumber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10</v>
      </c>
      <c r="K117" s="5" cm="1">
        <f t="array" ref="K117">IFERROR(AVERAGE(IF((OutputTable[GroupByKey]=OutputTable[[#This Row],[GroupByKey]]),(OutputTable[GroupByKey]=OutputTable[[#This Row],[GroupByKey]])*OutputTable[RecordedValue])),0)</f>
        <v>11.1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2.726414006223806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1.9503590878873462</v>
      </c>
      <c r="O117" s="5" cm="1">
        <f t="array" ref="O117">MIN(IF((OutputTable[GroupByKey]=OutputTable[[#This Row],[GroupByKey]]),(OutputTable[GroupByKey]=OutputTable[[#This Row],[GroupByKey]])*OutputTable[RecordedValue]))</f>
        <v>8</v>
      </c>
      <c r="P117" s="5" cm="1">
        <f t="array" ref="P117">MAX(IF((OutputTable[GroupByKey]=OutputTable[[#This Row],[GroupByKey]]),(OutputTable[GroupByKey]=OutputTable[[#This Row],[GroupByKey]])*OutputTable[RecordedValue]))</f>
        <v>16</v>
      </c>
    </row>
    <row r="118" spans="1:16" x14ac:dyDescent="0.3">
      <c r="A118" t="s">
        <v>66</v>
      </c>
      <c r="B118" t="s">
        <v>68</v>
      </c>
      <c r="C118">
        <v>8</v>
      </c>
      <c r="D118" t="s">
        <v>109</v>
      </c>
      <c r="E118" t="s">
        <v>105</v>
      </c>
      <c r="F118" t="s">
        <v>71</v>
      </c>
      <c r="G118">
        <v>6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ProjectPICTURE_VERDE.NumberOutNumber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10</v>
      </c>
      <c r="K118" s="5" cm="1">
        <f t="array" ref="K118">IFERROR(AVERAGE(IF((OutputTable[GroupByKey]=OutputTable[[#This Row],[GroupByKey]]),(OutputTable[GroupByKey]=OutputTable[[#This Row],[GroupByKey]])*OutputTable[RecordedValue])),0)</f>
        <v>8.9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2.4244128727957572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1.7343204914786237</v>
      </c>
      <c r="O118" s="5" cm="1">
        <f t="array" ref="O118">MIN(IF((OutputTable[GroupByKey]=OutputTable[[#This Row],[GroupByKey]]),(OutputTable[GroupByKey]=OutputTable[[#This Row],[GroupByKey]])*OutputTable[RecordedValue]))</f>
        <v>6</v>
      </c>
      <c r="P118" s="5" cm="1">
        <f t="array" ref="P118">MAX(IF((OutputTable[GroupByKey]=OutputTable[[#This Row],[GroupByKey]]),(OutputTable[GroupByKey]=OutputTable[[#This Row],[GroupByKey]])*OutputTable[RecordedValue]))</f>
        <v>14</v>
      </c>
    </row>
    <row r="119" spans="1:16" x14ac:dyDescent="0.3">
      <c r="A119" t="s">
        <v>66</v>
      </c>
      <c r="B119" t="s">
        <v>68</v>
      </c>
      <c r="C119">
        <v>8</v>
      </c>
      <c r="D119" t="s">
        <v>110</v>
      </c>
      <c r="E119" t="s">
        <v>103</v>
      </c>
      <c r="F119" t="s">
        <v>71</v>
      </c>
      <c r="G119">
        <v>6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ProjectPICTURE_VERMELHO.NumberInNumber InEntity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10</v>
      </c>
      <c r="K119" s="5" cm="1">
        <f t="array" ref="K119">IFERROR(AVERAGE(IF((OutputTable[GroupByKey]=OutputTable[[#This Row],[GroupByKey]]),(OutputTable[GroupByKey]=OutputTable[[#This Row],[GroupByKey]])*OutputTable[RecordedValue])),0)</f>
        <v>5.5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2.0138409955990952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1.4406150637286517</v>
      </c>
      <c r="O119" s="5" cm="1">
        <f t="array" ref="O119">MIN(IF((OutputTable[GroupByKey]=OutputTable[[#This Row],[GroupByKey]]),(OutputTable[GroupByKey]=OutputTable[[#This Row],[GroupByKey]])*OutputTable[RecordedValue]))</f>
        <v>3</v>
      </c>
      <c r="P119" s="5" cm="1">
        <f t="array" ref="P119">MAX(IF((OutputTable[GroupByKey]=OutputTable[[#This Row],[GroupByKey]]),(OutputTable[GroupByKey]=OutputTable[[#This Row],[GroupByKey]])*OutputTable[RecordedValue]))</f>
        <v>9</v>
      </c>
    </row>
    <row r="120" spans="1:16" x14ac:dyDescent="0.3">
      <c r="A120" t="s">
        <v>66</v>
      </c>
      <c r="B120" t="s">
        <v>68</v>
      </c>
      <c r="C120">
        <v>8</v>
      </c>
      <c r="D120" t="s">
        <v>111</v>
      </c>
      <c r="E120" t="s">
        <v>105</v>
      </c>
      <c r="F120" t="s">
        <v>71</v>
      </c>
      <c r="G120">
        <v>4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ProjectPICTURE_VERMELHO.NumberOutNumber OutEntity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10</v>
      </c>
      <c r="K120" s="5" cm="1">
        <f t="array" ref="K120">IFERROR(AVERAGE(IF((OutputTable[GroupByKey]=OutputTable[[#This Row],[GroupByKey]]),(OutputTable[GroupByKey]=OutputTable[[#This Row],[GroupByKey]])*OutputTable[RecordedValue])),0)</f>
        <v>3.6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0.84327404271156814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0.60324191007952155</v>
      </c>
      <c r="O120" s="5" cm="1">
        <f t="array" ref="O120">MIN(IF((OutputTable[GroupByKey]=OutputTable[[#This Row],[GroupByKey]]),(OutputTable[GroupByKey]=OutputTable[[#This Row],[GroupByKey]])*OutputTable[RecordedValue]))</f>
        <v>3</v>
      </c>
      <c r="P120" s="5" cm="1">
        <f t="array" ref="P120">MAX(IF((OutputTable[GroupByKey]=OutputTable[[#This Row],[GroupByKey]]),(OutputTable[GroupByKey]=OutputTable[[#This Row],[GroupByKey]])*OutputTable[RecordedValue]))</f>
        <v>5</v>
      </c>
    </row>
    <row r="121" spans="1:16" x14ac:dyDescent="0.3">
      <c r="A121" t="s">
        <v>66</v>
      </c>
      <c r="B121" t="s">
        <v>68</v>
      </c>
      <c r="C121">
        <v>8</v>
      </c>
      <c r="D121" t="s">
        <v>112</v>
      </c>
      <c r="E121" t="s">
        <v>105</v>
      </c>
      <c r="F121" t="s">
        <v>113</v>
      </c>
      <c r="G121">
        <v>18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10</v>
      </c>
      <c r="K121" s="5" cm="1">
        <f t="array" ref="K121">IFERROR(AVERAGE(IF((OutputTable[GroupByKey]=OutputTable[[#This Row],[GroupByKey]]),(OutputTable[GroupByKey]=OutputTable[[#This Row],[GroupByKey]])*OutputTable[RecordedValue])),0)</f>
        <v>23.1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3.4785054261852113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2.4883728790780211</v>
      </c>
      <c r="O121" s="5" cm="1">
        <f t="array" ref="O121">MIN(IF((OutputTable[GroupByKey]=OutputTable[[#This Row],[GroupByKey]]),(OutputTable[GroupByKey]=OutputTable[[#This Row],[GroupByKey]])*OutputTable[RecordedValue]))</f>
        <v>17</v>
      </c>
      <c r="P121" s="5" cm="1">
        <f t="array" ref="P121">MAX(IF((OutputTable[GroupByKey]=OutputTable[[#This Row],[GroupByKey]]),(OutputTable[GroupByKey]=OutputTable[[#This Row],[GroupByKey]])*OutputTable[RecordedValue]))</f>
        <v>28</v>
      </c>
    </row>
    <row r="122" spans="1:16" x14ac:dyDescent="0.3">
      <c r="A122" t="s">
        <v>66</v>
      </c>
      <c r="B122" t="s">
        <v>68</v>
      </c>
      <c r="C122">
        <v>9</v>
      </c>
      <c r="D122" t="s">
        <v>94</v>
      </c>
      <c r="E122" t="s">
        <v>95</v>
      </c>
      <c r="F122" t="s">
        <v>86</v>
      </c>
      <c r="G122">
        <v>21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ProjectOPERADOR_CORTE.NumberSeizedTotal Number SeizedResource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10</v>
      </c>
      <c r="K122" s="5" cm="1">
        <f t="array" ref="K122">IFERROR(AVERAGE(IF((OutputTable[GroupByKey]=OutputTable[[#This Row],[GroupByKey]]),(OutputTable[GroupByKey]=OutputTable[[#This Row],[GroupByKey]])*OutputTable[RecordedValue])),0)</f>
        <v>15.9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3.247221034122016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2.3229219919723874</v>
      </c>
      <c r="O122" s="5" cm="1">
        <f t="array" ref="O122">MIN(IF((OutputTable[GroupByKey]=OutputTable[[#This Row],[GroupByKey]]),(OutputTable[GroupByKey]=OutputTable[[#This Row],[GroupByKey]])*OutputTable[RecordedValue]))</f>
        <v>12</v>
      </c>
      <c r="P122" s="5" cm="1">
        <f t="array" ref="P122">MAX(IF((OutputTable[GroupByKey]=OutputTable[[#This Row],[GroupByKey]]),(OutputTable[GroupByKey]=OutputTable[[#This Row],[GroupByKey]])*OutputTable[RecordedValue]))</f>
        <v>21</v>
      </c>
    </row>
    <row r="123" spans="1:16" x14ac:dyDescent="0.3">
      <c r="A123" t="s">
        <v>66</v>
      </c>
      <c r="B123" t="s">
        <v>68</v>
      </c>
      <c r="C123">
        <v>9</v>
      </c>
      <c r="D123" t="s">
        <v>96</v>
      </c>
      <c r="E123" t="s">
        <v>97</v>
      </c>
      <c r="F123" t="s">
        <v>86</v>
      </c>
      <c r="G123">
        <v>0.85456598914228199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ProjectOPERADOR_CORTE.ScheduledUtilizationScheduled UtilizationResource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10</v>
      </c>
      <c r="K123" s="5" cm="1">
        <f t="array" ref="K123">IFERROR(AVERAGE(IF((OutputTable[GroupByKey]=OutputTable[[#This Row],[GroupByKey]]),(OutputTable[GroupByKey]=OutputTable[[#This Row],[GroupByKey]])*OutputTable[RecordedValue])),0)</f>
        <v>0.66328097868598235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0.13309360211006072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9.5209427409943759E-2</v>
      </c>
      <c r="O123" s="5" cm="1">
        <f t="array" ref="O123">MIN(IF((OutputTable[GroupByKey]=OutputTable[[#This Row],[GroupByKey]]),(OutputTable[GroupByKey]=OutputTable[[#This Row],[GroupByKey]])*OutputTable[RecordedValue]))</f>
        <v>0.50548165778050103</v>
      </c>
      <c r="P123" s="5" cm="1">
        <f t="array" ref="P123">MAX(IF((OutputTable[GroupByKey]=OutputTable[[#This Row],[GroupByKey]]),(OutputTable[GroupByKey]=OutputTable[[#This Row],[GroupByKey]])*OutputTable[RecordedValue]))</f>
        <v>0.90373198712706704</v>
      </c>
    </row>
    <row r="124" spans="1:16" x14ac:dyDescent="0.3">
      <c r="A124" t="s">
        <v>66</v>
      </c>
      <c r="B124" t="s">
        <v>68</v>
      </c>
      <c r="C124">
        <v>9</v>
      </c>
      <c r="D124" t="s">
        <v>98</v>
      </c>
      <c r="E124" t="s">
        <v>95</v>
      </c>
      <c r="F124" t="s">
        <v>86</v>
      </c>
      <c r="G124">
        <v>18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ProjectOPERADOR_LIXADEIRA.NumberSeizedTotal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10</v>
      </c>
      <c r="K124" s="5" cm="1">
        <f t="array" ref="K124">IFERROR(AVERAGE(IF((OutputTable[GroupByKey]=OutputTable[[#This Row],[GroupByKey]]),(OutputTable[GroupByKey]=OutputTable[[#This Row],[GroupByKey]])*OutputTable[RecordedValue])),0)</f>
        <v>13.4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2.1186998109427626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1.5156265414366468</v>
      </c>
      <c r="O124" s="5" cm="1">
        <f t="array" ref="O124">MIN(IF((OutputTable[GroupByKey]=OutputTable[[#This Row],[GroupByKey]]),(OutputTable[GroupByKey]=OutputTable[[#This Row],[GroupByKey]])*OutputTable[RecordedValue]))</f>
        <v>11</v>
      </c>
      <c r="P124" s="5" cm="1">
        <f t="array" ref="P124">MAX(IF((OutputTable[GroupByKey]=OutputTable[[#This Row],[GroupByKey]]),(OutputTable[GroupByKey]=OutputTable[[#This Row],[GroupByKey]])*OutputTable[RecordedValue]))</f>
        <v>18</v>
      </c>
    </row>
    <row r="125" spans="1:16" x14ac:dyDescent="0.3">
      <c r="A125" t="s">
        <v>66</v>
      </c>
      <c r="B125" t="s">
        <v>68</v>
      </c>
      <c r="C125">
        <v>9</v>
      </c>
      <c r="D125" t="s">
        <v>99</v>
      </c>
      <c r="E125" t="s">
        <v>97</v>
      </c>
      <c r="F125" t="s">
        <v>86</v>
      </c>
      <c r="G125">
        <v>0.85064625227951796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ProjectOPERADOR_LIXADEIRA.ScheduledUtilizationScheduled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10</v>
      </c>
      <c r="K125" s="5" cm="1">
        <f t="array" ref="K125">IFERROR(AVERAGE(IF((OutputTable[GroupByKey]=OutputTable[[#This Row],[GroupByKey]]),(OutputTable[GroupByKey]=OutputTable[[#This Row],[GroupByKey]])*OutputTable[RecordedValue])),0)</f>
        <v>0.61388612230942741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0.11265505672935852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8.0588572823863613E-2</v>
      </c>
      <c r="O125" s="5" cm="1">
        <f t="array" ref="O125">MIN(IF((OutputTable[GroupByKey]=OutputTable[[#This Row],[GroupByKey]]),(OutputTable[GroupByKey]=OutputTable[[#This Row],[GroupByKey]])*OutputTable[RecordedValue]))</f>
        <v>0.48262851817987601</v>
      </c>
      <c r="P125" s="5" cm="1">
        <f t="array" ref="P125">MAX(IF((OutputTable[GroupByKey]=OutputTable[[#This Row],[GroupByKey]]),(OutputTable[GroupByKey]=OutputTable[[#This Row],[GroupByKey]])*OutputTable[RecordedValue]))</f>
        <v>0.85064625227951796</v>
      </c>
    </row>
    <row r="126" spans="1:16" x14ac:dyDescent="0.3">
      <c r="A126" t="s">
        <v>66</v>
      </c>
      <c r="B126" t="s">
        <v>68</v>
      </c>
      <c r="C126">
        <v>9</v>
      </c>
      <c r="D126" t="s">
        <v>100</v>
      </c>
      <c r="E126" t="s">
        <v>95</v>
      </c>
      <c r="F126" t="s">
        <v>86</v>
      </c>
      <c r="G126">
        <v>16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ProjectOPERADOR_TORNO.NumberSeizedTotal Number SeizedResource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10</v>
      </c>
      <c r="K126" s="5" cm="1">
        <f t="array" ref="K126">IFERROR(AVERAGE(IF((OutputTable[GroupByKey]=OutputTable[[#This Row],[GroupByKey]]),(OutputTable[GroupByKey]=OutputTable[[#This Row],[GroupByKey]])*OutputTable[RecordedValue])),0)</f>
        <v>15.6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2.716206504995117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1.9430570813906995</v>
      </c>
      <c r="O126" s="5" cm="1">
        <f t="array" ref="O126">MIN(IF((OutputTable[GroupByKey]=OutputTable[[#This Row],[GroupByKey]]),(OutputTable[GroupByKey]=OutputTable[[#This Row],[GroupByKey]])*OutputTable[RecordedValue]))</f>
        <v>10</v>
      </c>
      <c r="P126" s="5" cm="1">
        <f t="array" ref="P126">MAX(IF((OutputTable[GroupByKey]=OutputTable[[#This Row],[GroupByKey]]),(OutputTable[GroupByKey]=OutputTable[[#This Row],[GroupByKey]])*OutputTable[RecordedValue]))</f>
        <v>19</v>
      </c>
    </row>
    <row r="127" spans="1:16" x14ac:dyDescent="0.3">
      <c r="A127" t="s">
        <v>66</v>
      </c>
      <c r="B127" t="s">
        <v>68</v>
      </c>
      <c r="C127">
        <v>9</v>
      </c>
      <c r="D127" t="s">
        <v>101</v>
      </c>
      <c r="E127" t="s">
        <v>97</v>
      </c>
      <c r="F127" t="s">
        <v>86</v>
      </c>
      <c r="G127">
        <v>0.81151142158665801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ProjectOPERADOR_TORNO.ScheduledUtilizationScheduled UtilizationResource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10</v>
      </c>
      <c r="K127" s="5" cm="1">
        <f t="array" ref="K127">IFERROR(AVERAGE(IF((OutputTable[GroupByKey]=OutputTable[[#This Row],[GroupByKey]]),(OutputTable[GroupByKey]=OutputTable[[#This Row],[GroupByKey]])*OutputTable[RecordedValue])),0)</f>
        <v>0.82376875514414072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0.13969928470385456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9.9934848072064403E-2</v>
      </c>
      <c r="O127" s="5" cm="1">
        <f t="array" ref="O127">MIN(IF((OutputTable[GroupByKey]=OutputTable[[#This Row],[GroupByKey]]),(OutputTable[GroupByKey]=OutputTable[[#This Row],[GroupByKey]])*OutputTable[RecordedValue]))</f>
        <v>0.51379543219592505</v>
      </c>
      <c r="P127" s="5" cm="1">
        <f t="array" ref="P127">MAX(IF((OutputTable[GroupByKey]=OutputTable[[#This Row],[GroupByKey]]),(OutputTable[GroupByKey]=OutputTable[[#This Row],[GroupByKey]])*OutputTable[RecordedValue]))</f>
        <v>0.98397972672724299</v>
      </c>
    </row>
    <row r="128" spans="1:16" x14ac:dyDescent="0.3">
      <c r="A128" t="s">
        <v>66</v>
      </c>
      <c r="B128" t="s">
        <v>68</v>
      </c>
      <c r="C128">
        <v>9</v>
      </c>
      <c r="D128" t="s">
        <v>102</v>
      </c>
      <c r="E128" t="s">
        <v>103</v>
      </c>
      <c r="F128" t="s">
        <v>71</v>
      </c>
      <c r="G128">
        <v>35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ProjectPECA.NumberInNumber InEntity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10</v>
      </c>
      <c r="K128" s="5" cm="1">
        <f t="array" ref="K128">IFERROR(AVERAGE(IF((OutputTable[GroupByKey]=OutputTable[[#This Row],[GroupByKey]]),(OutputTable[GroupByKey]=OutputTable[[#This Row],[GroupByKey]])*OutputTable[RecordedValue])),0)</f>
        <v>29.9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6.4195880795508264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128" s="5" cm="1">
        <f t="array" ref="O128">MIN(IF((OutputTable[GroupByKey]=OutputTable[[#This Row],[GroupByKey]]),(OutputTable[GroupByKey]=OutputTable[[#This Row],[GroupByKey]])*OutputTable[RecordedValue]))</f>
        <v>20</v>
      </c>
      <c r="P128" s="5" cm="1">
        <f t="array" ref="P128">MAX(IF((OutputTable[GroupByKey]=OutputTable[[#This Row],[GroupByKey]]),(OutputTable[GroupByKey]=OutputTable[[#This Row],[GroupByKey]])*OutputTable[RecordedValue]))</f>
        <v>41</v>
      </c>
    </row>
    <row r="129" spans="1:16" x14ac:dyDescent="0.3">
      <c r="A129" t="s">
        <v>66</v>
      </c>
      <c r="B129" t="s">
        <v>68</v>
      </c>
      <c r="C129">
        <v>9</v>
      </c>
      <c r="D129" t="s">
        <v>104</v>
      </c>
      <c r="E129" t="s">
        <v>105</v>
      </c>
      <c r="F129" t="s">
        <v>71</v>
      </c>
      <c r="G129">
        <v>35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ProjectPECA.NumberOutNumber OutEntity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10</v>
      </c>
      <c r="K129" s="5" cm="1">
        <f t="array" ref="K129">IFERROR(AVERAGE(IF((OutputTable[GroupByKey]=OutputTable[[#This Row],[GroupByKey]]),(OutputTable[GroupByKey]=OutputTable[[#This Row],[GroupByKey]])*OutputTable[RecordedValue])),0)</f>
        <v>29.9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6.4195880795508264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129" s="5" cm="1">
        <f t="array" ref="O129">MIN(IF((OutputTable[GroupByKey]=OutputTable[[#This Row],[GroupByKey]]),(OutputTable[GroupByKey]=OutputTable[[#This Row],[GroupByKey]])*OutputTable[RecordedValue]))</f>
        <v>20</v>
      </c>
      <c r="P129" s="5" cm="1">
        <f t="array" ref="P129">MAX(IF((OutputTable[GroupByKey]=OutputTable[[#This Row],[GroupByKey]]),(OutputTable[GroupByKey]=OutputTable[[#This Row],[GroupByKey]])*OutputTable[RecordedValue]))</f>
        <v>41</v>
      </c>
    </row>
    <row r="130" spans="1:16" x14ac:dyDescent="0.3">
      <c r="A130" t="s">
        <v>66</v>
      </c>
      <c r="B130" t="s">
        <v>68</v>
      </c>
      <c r="C130">
        <v>9</v>
      </c>
      <c r="D130" t="s">
        <v>106</v>
      </c>
      <c r="E130" t="s">
        <v>103</v>
      </c>
      <c r="F130" t="s">
        <v>71</v>
      </c>
      <c r="G130">
        <v>13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ProjectPICTURE_AZUL.NumberInNumber InEntity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10</v>
      </c>
      <c r="K130" s="5" cm="1">
        <f t="array" ref="K130">IFERROR(AVERAGE(IF((OutputTable[GroupByKey]=OutputTable[[#This Row],[GroupByKey]]),(OutputTable[GroupByKey]=OutputTable[[#This Row],[GroupByKey]])*OutputTable[RecordedValue])),0)</f>
        <v>13.3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4.2700507413066324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3.0546102866388556</v>
      </c>
      <c r="O130" s="5" cm="1">
        <f t="array" ref="O130">MIN(IF((OutputTable[GroupByKey]=OutputTable[[#This Row],[GroupByKey]]),(OutputTable[GroupByKey]=OutputTable[[#This Row],[GroupByKey]])*OutputTable[RecordedValue]))</f>
        <v>7</v>
      </c>
      <c r="P130" s="5" cm="1">
        <f t="array" ref="P130">MAX(IF((OutputTable[GroupByKey]=OutputTable[[#This Row],[GroupByKey]]),(OutputTable[GroupByKey]=OutputTable[[#This Row],[GroupByKey]])*OutputTable[RecordedValue]))</f>
        <v>20</v>
      </c>
    </row>
    <row r="131" spans="1:16" x14ac:dyDescent="0.3">
      <c r="A131" t="s">
        <v>66</v>
      </c>
      <c r="B131" t="s">
        <v>68</v>
      </c>
      <c r="C131">
        <v>9</v>
      </c>
      <c r="D131" t="s">
        <v>107</v>
      </c>
      <c r="E131" t="s">
        <v>105</v>
      </c>
      <c r="F131" t="s">
        <v>71</v>
      </c>
      <c r="G131">
        <v>11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ProjectPICTURE_AZUL.NumberOutNumber OutEntity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10</v>
      </c>
      <c r="K131" s="5" cm="1">
        <f t="array" ref="K131">IFERROR(AVERAGE(IF((OutputTable[GroupByKey]=OutputTable[[#This Row],[GroupByKey]]),(OutputTable[GroupByKey]=OutputTable[[#This Row],[GroupByKey]])*OutputTable[RecordedValue])),0)</f>
        <v>10.6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2.2705848487901892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1.6242785521744192</v>
      </c>
      <c r="O131" s="5" cm="1">
        <f t="array" ref="O131">MIN(IF((OutputTable[GroupByKey]=OutputTable[[#This Row],[GroupByKey]]),(OutputTable[GroupByKey]=OutputTable[[#This Row],[GroupByKey]])*OutputTable[RecordedValue]))</f>
        <v>6</v>
      </c>
      <c r="P131" s="5" cm="1">
        <f t="array" ref="P131">MAX(IF((OutputTable[GroupByKey]=OutputTable[[#This Row],[GroupByKey]]),(OutputTable[GroupByKey]=OutputTable[[#This Row],[GroupByKey]])*OutputTable[RecordedValue]))</f>
        <v>13</v>
      </c>
    </row>
    <row r="132" spans="1:16" x14ac:dyDescent="0.3">
      <c r="A132" t="s">
        <v>66</v>
      </c>
      <c r="B132" t="s">
        <v>68</v>
      </c>
      <c r="C132">
        <v>9</v>
      </c>
      <c r="D132" t="s">
        <v>108</v>
      </c>
      <c r="E132" t="s">
        <v>103</v>
      </c>
      <c r="F132" t="s">
        <v>71</v>
      </c>
      <c r="G132">
        <v>15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ProjectPICTURE_VERDE.NumberInNumber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10</v>
      </c>
      <c r="K132" s="5" cm="1">
        <f t="array" ref="K132">IFERROR(AVERAGE(IF((OutputTable[GroupByKey]=OutputTable[[#This Row],[GroupByKey]]),(OutputTable[GroupByKey]=OutputTable[[#This Row],[GroupByKey]])*OutputTable[RecordedValue])),0)</f>
        <v>11.1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2.726414006223806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1.9503590878873462</v>
      </c>
      <c r="O132" s="5" cm="1">
        <f t="array" ref="O132">MIN(IF((OutputTable[GroupByKey]=OutputTable[[#This Row],[GroupByKey]]),(OutputTable[GroupByKey]=OutputTable[[#This Row],[GroupByKey]])*OutputTable[RecordedValue]))</f>
        <v>8</v>
      </c>
      <c r="P132" s="5" cm="1">
        <f t="array" ref="P132">MAX(IF((OutputTable[GroupByKey]=OutputTable[[#This Row],[GroupByKey]]),(OutputTable[GroupByKey]=OutputTable[[#This Row],[GroupByKey]])*OutputTable[RecordedValue]))</f>
        <v>16</v>
      </c>
    </row>
    <row r="133" spans="1:16" x14ac:dyDescent="0.3">
      <c r="A133" t="s">
        <v>66</v>
      </c>
      <c r="B133" t="s">
        <v>68</v>
      </c>
      <c r="C133">
        <v>9</v>
      </c>
      <c r="D133" t="s">
        <v>109</v>
      </c>
      <c r="E133" t="s">
        <v>105</v>
      </c>
      <c r="F133" t="s">
        <v>71</v>
      </c>
      <c r="G133">
        <v>14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ProjectPICTURE_VERDE.NumberOutNumber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10</v>
      </c>
      <c r="K133" s="5" cm="1">
        <f t="array" ref="K133">IFERROR(AVERAGE(IF((OutputTable[GroupByKey]=OutputTable[[#This Row],[GroupByKey]]),(OutputTable[GroupByKey]=OutputTable[[#This Row],[GroupByKey]])*OutputTable[RecordedValue])),0)</f>
        <v>8.9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2.4244128727957572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1.7343204914786237</v>
      </c>
      <c r="O133" s="5" cm="1">
        <f t="array" ref="O133">MIN(IF((OutputTable[GroupByKey]=OutputTable[[#This Row],[GroupByKey]]),(OutputTable[GroupByKey]=OutputTable[[#This Row],[GroupByKey]])*OutputTable[RecordedValue]))</f>
        <v>6</v>
      </c>
      <c r="P133" s="5" cm="1">
        <f t="array" ref="P133">MAX(IF((OutputTable[GroupByKey]=OutputTable[[#This Row],[GroupByKey]]),(OutputTable[GroupByKey]=OutputTable[[#This Row],[GroupByKey]])*OutputTable[RecordedValue]))</f>
        <v>14</v>
      </c>
    </row>
    <row r="134" spans="1:16" x14ac:dyDescent="0.3">
      <c r="A134" t="s">
        <v>66</v>
      </c>
      <c r="B134" t="s">
        <v>68</v>
      </c>
      <c r="C134">
        <v>9</v>
      </c>
      <c r="D134" t="s">
        <v>110</v>
      </c>
      <c r="E134" t="s">
        <v>103</v>
      </c>
      <c r="F134" t="s">
        <v>71</v>
      </c>
      <c r="G134">
        <v>7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ProjectPICTURE_VERMELHO.NumberInNumber InEntity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10</v>
      </c>
      <c r="K134" s="5" cm="1">
        <f t="array" ref="K134">IFERROR(AVERAGE(IF((OutputTable[GroupByKey]=OutputTable[[#This Row],[GroupByKey]]),(OutputTable[GroupByKey]=OutputTable[[#This Row],[GroupByKey]])*OutputTable[RecordedValue])),0)</f>
        <v>5.5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2.0138409955990952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1.4406150637286517</v>
      </c>
      <c r="O134" s="5" cm="1">
        <f t="array" ref="O134">MIN(IF((OutputTable[GroupByKey]=OutputTable[[#This Row],[GroupByKey]]),(OutputTable[GroupByKey]=OutputTable[[#This Row],[GroupByKey]])*OutputTable[RecordedValue]))</f>
        <v>3</v>
      </c>
      <c r="P134" s="5" cm="1">
        <f t="array" ref="P134">MAX(IF((OutputTable[GroupByKey]=OutputTable[[#This Row],[GroupByKey]]),(OutputTable[GroupByKey]=OutputTable[[#This Row],[GroupByKey]])*OutputTable[RecordedValue]))</f>
        <v>9</v>
      </c>
    </row>
    <row r="135" spans="1:16" x14ac:dyDescent="0.3">
      <c r="A135" t="s">
        <v>66</v>
      </c>
      <c r="B135" t="s">
        <v>68</v>
      </c>
      <c r="C135">
        <v>9</v>
      </c>
      <c r="D135" t="s">
        <v>111</v>
      </c>
      <c r="E135" t="s">
        <v>105</v>
      </c>
      <c r="F135" t="s">
        <v>71</v>
      </c>
      <c r="G135">
        <v>3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ProjectPICTURE_VERMELHO.NumberOutNumber OutEntity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10</v>
      </c>
      <c r="K135" s="5" cm="1">
        <f t="array" ref="K135">IFERROR(AVERAGE(IF((OutputTable[GroupByKey]=OutputTable[[#This Row],[GroupByKey]]),(OutputTable[GroupByKey]=OutputTable[[#This Row],[GroupByKey]])*OutputTable[RecordedValue])),0)</f>
        <v>3.6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0.84327404271156814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0.60324191007952155</v>
      </c>
      <c r="O135" s="5" cm="1">
        <f t="array" ref="O135">MIN(IF((OutputTable[GroupByKey]=OutputTable[[#This Row],[GroupByKey]]),(OutputTable[GroupByKey]=OutputTable[[#This Row],[GroupByKey]])*OutputTable[RecordedValue]))</f>
        <v>3</v>
      </c>
      <c r="P135" s="5" cm="1">
        <f t="array" ref="P135">MAX(IF((OutputTable[GroupByKey]=OutputTable[[#This Row],[GroupByKey]]),(OutputTable[GroupByKey]=OutputTable[[#This Row],[GroupByKey]])*OutputTable[RecordedValue]))</f>
        <v>5</v>
      </c>
    </row>
    <row r="136" spans="1:16" x14ac:dyDescent="0.3">
      <c r="A136" t="s">
        <v>66</v>
      </c>
      <c r="B136" t="s">
        <v>68</v>
      </c>
      <c r="C136">
        <v>9</v>
      </c>
      <c r="D136" t="s">
        <v>112</v>
      </c>
      <c r="E136" t="s">
        <v>105</v>
      </c>
      <c r="F136" t="s">
        <v>113</v>
      </c>
      <c r="G136">
        <v>28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10</v>
      </c>
      <c r="K136" s="5" cm="1">
        <f t="array" ref="K136">IFERROR(AVERAGE(IF((OutputTable[GroupByKey]=OutputTable[[#This Row],[GroupByKey]]),(OutputTable[GroupByKey]=OutputTable[[#This Row],[GroupByKey]])*OutputTable[RecordedValue])),0)</f>
        <v>23.1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3.4785054261852113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2.4883728790780211</v>
      </c>
      <c r="O136" s="5" cm="1">
        <f t="array" ref="O136">MIN(IF((OutputTable[GroupByKey]=OutputTable[[#This Row],[GroupByKey]]),(OutputTable[GroupByKey]=OutputTable[[#This Row],[GroupByKey]])*OutputTable[RecordedValue]))</f>
        <v>17</v>
      </c>
      <c r="P136" s="5" cm="1">
        <f t="array" ref="P136">MAX(IF((OutputTable[GroupByKey]=OutputTable[[#This Row],[GroupByKey]]),(OutputTable[GroupByKey]=OutputTable[[#This Row],[GroupByKey]])*OutputTable[RecordedValue]))</f>
        <v>28</v>
      </c>
    </row>
    <row r="137" spans="1:16" x14ac:dyDescent="0.3">
      <c r="A137" t="s">
        <v>66</v>
      </c>
      <c r="B137" t="s">
        <v>68</v>
      </c>
      <c r="C137">
        <v>10</v>
      </c>
      <c r="D137" t="s">
        <v>94</v>
      </c>
      <c r="E137" t="s">
        <v>95</v>
      </c>
      <c r="F137" t="s">
        <v>86</v>
      </c>
      <c r="G137">
        <v>15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ProjectOPERADOR_CORTE.NumberSeizedTotal Number SeizedResource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10</v>
      </c>
      <c r="K137" s="5" cm="1">
        <f t="array" ref="K137">IFERROR(AVERAGE(IF((OutputTable[GroupByKey]=OutputTable[[#This Row],[GroupByKey]]),(OutputTable[GroupByKey]=OutputTable[[#This Row],[GroupByKey]])*OutputTable[RecordedValue])),0)</f>
        <v>15.9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3.247221034122016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2.3229219919723874</v>
      </c>
      <c r="O137" s="5" cm="1">
        <f t="array" ref="O137">MIN(IF((OutputTable[GroupByKey]=OutputTable[[#This Row],[GroupByKey]]),(OutputTable[GroupByKey]=OutputTable[[#This Row],[GroupByKey]])*OutputTable[RecordedValue]))</f>
        <v>12</v>
      </c>
      <c r="P137" s="5" cm="1">
        <f t="array" ref="P137">MAX(IF((OutputTable[GroupByKey]=OutputTable[[#This Row],[GroupByKey]]),(OutputTable[GroupByKey]=OutputTable[[#This Row],[GroupByKey]])*OutputTable[RecordedValue]))</f>
        <v>21</v>
      </c>
    </row>
    <row r="138" spans="1:16" x14ac:dyDescent="0.3">
      <c r="A138" t="s">
        <v>66</v>
      </c>
      <c r="B138" t="s">
        <v>68</v>
      </c>
      <c r="C138">
        <v>10</v>
      </c>
      <c r="D138" t="s">
        <v>96</v>
      </c>
      <c r="E138" t="s">
        <v>97</v>
      </c>
      <c r="F138" t="s">
        <v>86</v>
      </c>
      <c r="G138">
        <v>0.591351880247172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ProjectOPERADOR_CORTE.ScheduledUtilizationScheduled UtilizationResource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10</v>
      </c>
      <c r="K138" s="5" cm="1">
        <f t="array" ref="K138">IFERROR(AVERAGE(IF((OutputTable[GroupByKey]=OutputTable[[#This Row],[GroupByKey]]),(OutputTable[GroupByKey]=OutputTable[[#This Row],[GroupByKey]])*OutputTable[RecordedValue])),0)</f>
        <v>0.66328097868598235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0.13309360211006072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9.5209427409943759E-2</v>
      </c>
      <c r="O138" s="5" cm="1">
        <f t="array" ref="O138">MIN(IF((OutputTable[GroupByKey]=OutputTable[[#This Row],[GroupByKey]]),(OutputTable[GroupByKey]=OutputTable[[#This Row],[GroupByKey]])*OutputTable[RecordedValue]))</f>
        <v>0.50548165778050103</v>
      </c>
      <c r="P138" s="5" cm="1">
        <f t="array" ref="P138">MAX(IF((OutputTable[GroupByKey]=OutputTable[[#This Row],[GroupByKey]]),(OutputTable[GroupByKey]=OutputTable[[#This Row],[GroupByKey]])*OutputTable[RecordedValue]))</f>
        <v>0.90373198712706704</v>
      </c>
    </row>
    <row r="139" spans="1:16" x14ac:dyDescent="0.3">
      <c r="A139" t="s">
        <v>66</v>
      </c>
      <c r="B139" t="s">
        <v>68</v>
      </c>
      <c r="C139">
        <v>10</v>
      </c>
      <c r="D139" t="s">
        <v>98</v>
      </c>
      <c r="E139" t="s">
        <v>95</v>
      </c>
      <c r="F139" t="s">
        <v>86</v>
      </c>
      <c r="G139">
        <v>12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ProjectOPERADOR_LIXADEIRA.NumberSeizedTotal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10</v>
      </c>
      <c r="K139" s="5" cm="1">
        <f t="array" ref="K139">IFERROR(AVERAGE(IF((OutputTable[GroupByKey]=OutputTable[[#This Row],[GroupByKey]]),(OutputTable[GroupByKey]=OutputTable[[#This Row],[GroupByKey]])*OutputTable[RecordedValue])),0)</f>
        <v>13.4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2.1186998109427626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1.5156265414366468</v>
      </c>
      <c r="O139" s="5" cm="1">
        <f t="array" ref="O139">MIN(IF((OutputTable[GroupByKey]=OutputTable[[#This Row],[GroupByKey]]),(OutputTable[GroupByKey]=OutputTable[[#This Row],[GroupByKey]])*OutputTable[RecordedValue]))</f>
        <v>11</v>
      </c>
      <c r="P139" s="5" cm="1">
        <f t="array" ref="P139">MAX(IF((OutputTable[GroupByKey]=OutputTable[[#This Row],[GroupByKey]]),(OutputTable[GroupByKey]=OutputTable[[#This Row],[GroupByKey]])*OutputTable[RecordedValue]))</f>
        <v>18</v>
      </c>
    </row>
    <row r="140" spans="1:16" x14ac:dyDescent="0.3">
      <c r="A140" t="s">
        <v>66</v>
      </c>
      <c r="B140" t="s">
        <v>68</v>
      </c>
      <c r="C140">
        <v>10</v>
      </c>
      <c r="D140" t="s">
        <v>99</v>
      </c>
      <c r="E140" t="s">
        <v>97</v>
      </c>
      <c r="F140" t="s">
        <v>86</v>
      </c>
      <c r="G140">
        <v>0.54016138164490002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ProjectOPERADOR_LIXADEIRA.ScheduledUtilizationScheduled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10</v>
      </c>
      <c r="K140" s="5" cm="1">
        <f t="array" ref="K140">IFERROR(AVERAGE(IF((OutputTable[GroupByKey]=OutputTable[[#This Row],[GroupByKey]]),(OutputTable[GroupByKey]=OutputTable[[#This Row],[GroupByKey]])*OutputTable[RecordedValue])),0)</f>
        <v>0.61388612230942741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0.11265505672935852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8.0588572823863613E-2</v>
      </c>
      <c r="O140" s="5" cm="1">
        <f t="array" ref="O140">MIN(IF((OutputTable[GroupByKey]=OutputTable[[#This Row],[GroupByKey]]),(OutputTable[GroupByKey]=OutputTable[[#This Row],[GroupByKey]])*OutputTable[RecordedValue]))</f>
        <v>0.48262851817987601</v>
      </c>
      <c r="P140" s="5" cm="1">
        <f t="array" ref="P140">MAX(IF((OutputTable[GroupByKey]=OutputTable[[#This Row],[GroupByKey]]),(OutputTable[GroupByKey]=OutputTable[[#This Row],[GroupByKey]])*OutputTable[RecordedValue]))</f>
        <v>0.85064625227951796</v>
      </c>
    </row>
    <row r="141" spans="1:16" x14ac:dyDescent="0.3">
      <c r="A141" t="s">
        <v>66</v>
      </c>
      <c r="B141" t="s">
        <v>68</v>
      </c>
      <c r="C141">
        <v>10</v>
      </c>
      <c r="D141" t="s">
        <v>100</v>
      </c>
      <c r="E141" t="s">
        <v>95</v>
      </c>
      <c r="F141" t="s">
        <v>86</v>
      </c>
      <c r="G141">
        <v>15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ProjectOPERADOR_TORNO.NumberSeizedTotal Number SeizedResource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10</v>
      </c>
      <c r="K141" s="5" cm="1">
        <f t="array" ref="K141">IFERROR(AVERAGE(IF((OutputTable[GroupByKey]=OutputTable[[#This Row],[GroupByKey]]),(OutputTable[GroupByKey]=OutputTable[[#This Row],[GroupByKey]])*OutputTable[RecordedValue])),0)</f>
        <v>15.6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2.716206504995117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1.9430570813906995</v>
      </c>
      <c r="O141" s="5" cm="1">
        <f t="array" ref="O141">MIN(IF((OutputTable[GroupByKey]=OutputTable[[#This Row],[GroupByKey]]),(OutputTable[GroupByKey]=OutputTable[[#This Row],[GroupByKey]])*OutputTable[RecordedValue]))</f>
        <v>10</v>
      </c>
      <c r="P141" s="5" cm="1">
        <f t="array" ref="P141">MAX(IF((OutputTable[GroupByKey]=OutputTable[[#This Row],[GroupByKey]]),(OutputTable[GroupByKey]=OutputTable[[#This Row],[GroupByKey]])*OutputTable[RecordedValue]))</f>
        <v>19</v>
      </c>
    </row>
    <row r="142" spans="1:16" x14ac:dyDescent="0.3">
      <c r="A142" t="s">
        <v>66</v>
      </c>
      <c r="B142" t="s">
        <v>68</v>
      </c>
      <c r="C142">
        <v>10</v>
      </c>
      <c r="D142" t="s">
        <v>101</v>
      </c>
      <c r="E142" t="s">
        <v>97</v>
      </c>
      <c r="F142" t="s">
        <v>86</v>
      </c>
      <c r="G142">
        <v>0.77632496154094799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ProjectOPERADOR_TORNO.ScheduledUtilizationScheduled UtilizationResource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10</v>
      </c>
      <c r="K142" s="5" cm="1">
        <f t="array" ref="K142">IFERROR(AVERAGE(IF((OutputTable[GroupByKey]=OutputTable[[#This Row],[GroupByKey]]),(OutputTable[GroupByKey]=OutputTable[[#This Row],[GroupByKey]])*OutputTable[RecordedValue])),0)</f>
        <v>0.82376875514414072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0.13969928470385456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9.9934848072064403E-2</v>
      </c>
      <c r="O142" s="5" cm="1">
        <f t="array" ref="O142">MIN(IF((OutputTable[GroupByKey]=OutputTable[[#This Row],[GroupByKey]]),(OutputTable[GroupByKey]=OutputTable[[#This Row],[GroupByKey]])*OutputTable[RecordedValue]))</f>
        <v>0.51379543219592505</v>
      </c>
      <c r="P142" s="5" cm="1">
        <f t="array" ref="P142">MAX(IF((OutputTable[GroupByKey]=OutputTable[[#This Row],[GroupByKey]]),(OutputTable[GroupByKey]=OutputTable[[#This Row],[GroupByKey]])*OutputTable[RecordedValue]))</f>
        <v>0.98397972672724299</v>
      </c>
    </row>
    <row r="143" spans="1:16" x14ac:dyDescent="0.3">
      <c r="A143" t="s">
        <v>66</v>
      </c>
      <c r="B143" t="s">
        <v>68</v>
      </c>
      <c r="C143">
        <v>10</v>
      </c>
      <c r="D143" t="s">
        <v>102</v>
      </c>
      <c r="E143" t="s">
        <v>103</v>
      </c>
      <c r="F143" t="s">
        <v>71</v>
      </c>
      <c r="G143">
        <v>26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ProjectPECA.NumberInNumber InEntity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10</v>
      </c>
      <c r="K143" s="5" cm="1">
        <f t="array" ref="K143">IFERROR(AVERAGE(IF((OutputTable[GroupByKey]=OutputTable[[#This Row],[GroupByKey]]),(OutputTable[GroupByKey]=OutputTable[[#This Row],[GroupByKey]])*OutputTable[RecordedValue])),0)</f>
        <v>29.9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6.4195880795508264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143" s="5" cm="1">
        <f t="array" ref="O143">MIN(IF((OutputTable[GroupByKey]=OutputTable[[#This Row],[GroupByKey]]),(OutputTable[GroupByKey]=OutputTable[[#This Row],[GroupByKey]])*OutputTable[RecordedValue]))</f>
        <v>20</v>
      </c>
      <c r="P143" s="5" cm="1">
        <f t="array" ref="P143">MAX(IF((OutputTable[GroupByKey]=OutputTable[[#This Row],[GroupByKey]]),(OutputTable[GroupByKey]=OutputTable[[#This Row],[GroupByKey]])*OutputTable[RecordedValue]))</f>
        <v>41</v>
      </c>
    </row>
    <row r="144" spans="1:16" x14ac:dyDescent="0.3">
      <c r="A144" t="s">
        <v>66</v>
      </c>
      <c r="B144" t="s">
        <v>68</v>
      </c>
      <c r="C144">
        <v>10</v>
      </c>
      <c r="D144" t="s">
        <v>104</v>
      </c>
      <c r="E144" t="s">
        <v>105</v>
      </c>
      <c r="F144" t="s">
        <v>71</v>
      </c>
      <c r="G144">
        <v>26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ProjectPECA.NumberOutNumber OutEntity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10</v>
      </c>
      <c r="K144" s="5" cm="1">
        <f t="array" ref="K144">IFERROR(AVERAGE(IF((OutputTable[GroupByKey]=OutputTable[[#This Row],[GroupByKey]]),(OutputTable[GroupByKey]=OutputTable[[#This Row],[GroupByKey]])*OutputTable[RecordedValue])),0)</f>
        <v>29.9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6.4195880795508264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4.59229666619364</v>
      </c>
      <c r="O144" s="5" cm="1">
        <f t="array" ref="O144">MIN(IF((OutputTable[GroupByKey]=OutputTable[[#This Row],[GroupByKey]]),(OutputTable[GroupByKey]=OutputTable[[#This Row],[GroupByKey]])*OutputTable[RecordedValue]))</f>
        <v>20</v>
      </c>
      <c r="P144" s="5" cm="1">
        <f t="array" ref="P144">MAX(IF((OutputTable[GroupByKey]=OutputTable[[#This Row],[GroupByKey]]),(OutputTable[GroupByKey]=OutputTable[[#This Row],[GroupByKey]])*OutputTable[RecordedValue]))</f>
        <v>41</v>
      </c>
    </row>
    <row r="145" spans="1:16" x14ac:dyDescent="0.3">
      <c r="A145" t="s">
        <v>66</v>
      </c>
      <c r="B145" t="s">
        <v>68</v>
      </c>
      <c r="C145">
        <v>10</v>
      </c>
      <c r="D145" t="s">
        <v>106</v>
      </c>
      <c r="E145" t="s">
        <v>103</v>
      </c>
      <c r="F145" t="s">
        <v>71</v>
      </c>
      <c r="G145">
        <v>11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ProjectPICTURE_AZUL.NumberInNumber InEntity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10</v>
      </c>
      <c r="K145" s="5" cm="1">
        <f t="array" ref="K145">IFERROR(AVERAGE(IF((OutputTable[GroupByKey]=OutputTable[[#This Row],[GroupByKey]]),(OutputTable[GroupByKey]=OutputTable[[#This Row],[GroupByKey]])*OutputTable[RecordedValue])),0)</f>
        <v>13.3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4.2700507413066324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3.0546102866388556</v>
      </c>
      <c r="O145" s="5" cm="1">
        <f t="array" ref="O145">MIN(IF((OutputTable[GroupByKey]=OutputTable[[#This Row],[GroupByKey]]),(OutputTable[GroupByKey]=OutputTable[[#This Row],[GroupByKey]])*OutputTable[RecordedValue]))</f>
        <v>7</v>
      </c>
      <c r="P145" s="5" cm="1">
        <f t="array" ref="P145">MAX(IF((OutputTable[GroupByKey]=OutputTable[[#This Row],[GroupByKey]]),(OutputTable[GroupByKey]=OutputTable[[#This Row],[GroupByKey]])*OutputTable[RecordedValue]))</f>
        <v>20</v>
      </c>
    </row>
    <row r="146" spans="1:16" x14ac:dyDescent="0.3">
      <c r="A146" t="s">
        <v>66</v>
      </c>
      <c r="B146" t="s">
        <v>68</v>
      </c>
      <c r="C146">
        <v>10</v>
      </c>
      <c r="D146" t="s">
        <v>107</v>
      </c>
      <c r="E146" t="s">
        <v>105</v>
      </c>
      <c r="F146" t="s">
        <v>71</v>
      </c>
      <c r="G146">
        <v>11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ProjectPICTURE_AZUL.NumberOutNumber OutEntity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10</v>
      </c>
      <c r="K146" s="5" cm="1">
        <f t="array" ref="K146">IFERROR(AVERAGE(IF((OutputTable[GroupByKey]=OutputTable[[#This Row],[GroupByKey]]),(OutputTable[GroupByKey]=OutputTable[[#This Row],[GroupByKey]])*OutputTable[RecordedValue])),0)</f>
        <v>10.6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2.2705848487901892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1.6242785521744192</v>
      </c>
      <c r="O146" s="5" cm="1">
        <f t="array" ref="O146">MIN(IF((OutputTable[GroupByKey]=OutputTable[[#This Row],[GroupByKey]]),(OutputTable[GroupByKey]=OutputTable[[#This Row],[GroupByKey]])*OutputTable[RecordedValue]))</f>
        <v>6</v>
      </c>
      <c r="P146" s="5" cm="1">
        <f t="array" ref="P146">MAX(IF((OutputTable[GroupByKey]=OutputTable[[#This Row],[GroupByKey]]),(OutputTable[GroupByKey]=OutputTable[[#This Row],[GroupByKey]])*OutputTable[RecordedValue]))</f>
        <v>13</v>
      </c>
    </row>
    <row r="147" spans="1:16" x14ac:dyDescent="0.3">
      <c r="A147" t="s">
        <v>66</v>
      </c>
      <c r="B147" t="s">
        <v>68</v>
      </c>
      <c r="C147">
        <v>10</v>
      </c>
      <c r="D147" t="s">
        <v>108</v>
      </c>
      <c r="E147" t="s">
        <v>103</v>
      </c>
      <c r="F147" t="s">
        <v>71</v>
      </c>
      <c r="G147">
        <v>11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ProjectPICTURE_VERDE.NumberInNumber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10</v>
      </c>
      <c r="K147" s="5" cm="1">
        <f t="array" ref="K147">IFERROR(AVERAGE(IF((OutputTable[GroupByKey]=OutputTable[[#This Row],[GroupByKey]]),(OutputTable[GroupByKey]=OutputTable[[#This Row],[GroupByKey]])*OutputTable[RecordedValue])),0)</f>
        <v>11.1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2.726414006223806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1.9503590878873462</v>
      </c>
      <c r="O147" s="5" cm="1">
        <f t="array" ref="O147">MIN(IF((OutputTable[GroupByKey]=OutputTable[[#This Row],[GroupByKey]]),(OutputTable[GroupByKey]=OutputTable[[#This Row],[GroupByKey]])*OutputTable[RecordedValue]))</f>
        <v>8</v>
      </c>
      <c r="P147" s="5" cm="1">
        <f t="array" ref="P147">MAX(IF((OutputTable[GroupByKey]=OutputTable[[#This Row],[GroupByKey]]),(OutputTable[GroupByKey]=OutputTable[[#This Row],[GroupByKey]])*OutputTable[RecordedValue]))</f>
        <v>16</v>
      </c>
    </row>
    <row r="148" spans="1:16" x14ac:dyDescent="0.3">
      <c r="A148" t="s">
        <v>66</v>
      </c>
      <c r="B148" t="s">
        <v>68</v>
      </c>
      <c r="C148">
        <v>10</v>
      </c>
      <c r="D148" t="s">
        <v>109</v>
      </c>
      <c r="E148" t="s">
        <v>105</v>
      </c>
      <c r="F148" t="s">
        <v>71</v>
      </c>
      <c r="G148">
        <v>8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ProjectPICTURE_VERDE.NumberOutNumber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10</v>
      </c>
      <c r="K148" s="5" cm="1">
        <f t="array" ref="K148">IFERROR(AVERAGE(IF((OutputTable[GroupByKey]=OutputTable[[#This Row],[GroupByKey]]),(OutputTable[GroupByKey]=OutputTable[[#This Row],[GroupByKey]])*OutputTable[RecordedValue])),0)</f>
        <v>8.9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2.4244128727957572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1.7343204914786237</v>
      </c>
      <c r="O148" s="5" cm="1">
        <f t="array" ref="O148">MIN(IF((OutputTable[GroupByKey]=OutputTable[[#This Row],[GroupByKey]]),(OutputTable[GroupByKey]=OutputTable[[#This Row],[GroupByKey]])*OutputTable[RecordedValue]))</f>
        <v>6</v>
      </c>
      <c r="P148" s="5" cm="1">
        <f t="array" ref="P148">MAX(IF((OutputTable[GroupByKey]=OutputTable[[#This Row],[GroupByKey]]),(OutputTable[GroupByKey]=OutputTable[[#This Row],[GroupByKey]])*OutputTable[RecordedValue]))</f>
        <v>14</v>
      </c>
    </row>
    <row r="149" spans="1:16" x14ac:dyDescent="0.3">
      <c r="A149" t="s">
        <v>66</v>
      </c>
      <c r="B149" t="s">
        <v>68</v>
      </c>
      <c r="C149">
        <v>10</v>
      </c>
      <c r="D149" t="s">
        <v>110</v>
      </c>
      <c r="E149" t="s">
        <v>103</v>
      </c>
      <c r="F149" t="s">
        <v>71</v>
      </c>
      <c r="G149">
        <v>4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ProjectPICTURE_VERMELHO.NumberInNumber InEntity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10</v>
      </c>
      <c r="K149" s="5" cm="1">
        <f t="array" ref="K149">IFERROR(AVERAGE(IF((OutputTable[GroupByKey]=OutputTable[[#This Row],[GroupByKey]]),(OutputTable[GroupByKey]=OutputTable[[#This Row],[GroupByKey]])*OutputTable[RecordedValue])),0)</f>
        <v>5.5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2.0138409955990952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1.4406150637286517</v>
      </c>
      <c r="O149" s="5" cm="1">
        <f t="array" ref="O149">MIN(IF((OutputTable[GroupByKey]=OutputTable[[#This Row],[GroupByKey]]),(OutputTable[GroupByKey]=OutputTable[[#This Row],[GroupByKey]])*OutputTable[RecordedValue]))</f>
        <v>3</v>
      </c>
      <c r="P149" s="5" cm="1">
        <f t="array" ref="P149">MAX(IF((OutputTable[GroupByKey]=OutputTable[[#This Row],[GroupByKey]]),(OutputTable[GroupByKey]=OutputTable[[#This Row],[GroupByKey]])*OutputTable[RecordedValue]))</f>
        <v>9</v>
      </c>
    </row>
    <row r="150" spans="1:16" x14ac:dyDescent="0.3">
      <c r="A150" t="s">
        <v>66</v>
      </c>
      <c r="B150" t="s">
        <v>68</v>
      </c>
      <c r="C150">
        <v>10</v>
      </c>
      <c r="D150" t="s">
        <v>111</v>
      </c>
      <c r="E150" t="s">
        <v>105</v>
      </c>
      <c r="F150" t="s">
        <v>71</v>
      </c>
      <c r="G150">
        <v>3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ProjectPICTURE_VERMELHO.NumberOutNumber OutEntity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10</v>
      </c>
      <c r="K150" s="5" cm="1">
        <f t="array" ref="K150">IFERROR(AVERAGE(IF((OutputTable[GroupByKey]=OutputTable[[#This Row],[GroupByKey]]),(OutputTable[GroupByKey]=OutputTable[[#This Row],[GroupByKey]])*OutputTable[RecordedValue])),0)</f>
        <v>3.6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0.84327404271156814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0.60324191007952155</v>
      </c>
      <c r="O150" s="5" cm="1">
        <f t="array" ref="O150">MIN(IF((OutputTable[GroupByKey]=OutputTable[[#This Row],[GroupByKey]]),(OutputTable[GroupByKey]=OutputTable[[#This Row],[GroupByKey]])*OutputTable[RecordedValue]))</f>
        <v>3</v>
      </c>
      <c r="P150" s="5" cm="1">
        <f t="array" ref="P150">MAX(IF((OutputTable[GroupByKey]=OutputTable[[#This Row],[GroupByKey]]),(OutputTable[GroupByKey]=OutputTable[[#This Row],[GroupByKey]])*OutputTable[RecordedValue]))</f>
        <v>5</v>
      </c>
    </row>
    <row r="151" spans="1:16" x14ac:dyDescent="0.3">
      <c r="A151" t="s">
        <v>66</v>
      </c>
      <c r="B151" t="s">
        <v>68</v>
      </c>
      <c r="C151">
        <v>10</v>
      </c>
      <c r="D151" t="s">
        <v>112</v>
      </c>
      <c r="E151" t="s">
        <v>105</v>
      </c>
      <c r="F151" t="s">
        <v>113</v>
      </c>
      <c r="G151">
        <v>22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10</v>
      </c>
      <c r="K151" s="5" cm="1">
        <f t="array" ref="K151">IFERROR(AVERAGE(IF((OutputTable[GroupByKey]=OutputTable[[#This Row],[GroupByKey]]),(OutputTable[GroupByKey]=OutputTable[[#This Row],[GroupByKey]])*OutputTable[RecordedValue])),0)</f>
        <v>23.1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3.4785054261852113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2.4883728790780211</v>
      </c>
      <c r="O151" s="5" cm="1">
        <f t="array" ref="O151">MIN(IF((OutputTable[GroupByKey]=OutputTable[[#This Row],[GroupByKey]]),(OutputTable[GroupByKey]=OutputTable[[#This Row],[GroupByKey]])*OutputTable[RecordedValue]))</f>
        <v>17</v>
      </c>
      <c r="P151" s="5" cm="1">
        <f t="array" ref="P151">MAX(IF((OutputTable[GroupByKey]=OutputTable[[#This Row],[GroupByKey]]),(OutputTable[GroupByKey]=OutputTable[[#This Row],[GroupByKey]])*OutputTable[RecordedValue]))</f>
        <v>28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3.6640625" bestFit="1" customWidth="1"/>
    <col min="12" max="12" width="28.88671875" bestFit="1" customWidth="1"/>
    <col min="13" max="13" width="29.5546875" bestFit="1" customWidth="1"/>
    <col min="14" max="14" width="16.21875" bestFit="1" customWidth="1"/>
    <col min="15" max="15" width="27.6640625" bestFit="1" customWidth="1"/>
    <col min="16" max="16" width="28.33203125" bestFit="1" customWidth="1"/>
    <col min="17" max="17" width="29.21875" bestFit="1" customWidth="1"/>
    <col min="18" max="18" width="28.33203125" bestFit="1" customWidth="1"/>
    <col min="19" max="19" width="26.21875" bestFit="1" customWidth="1"/>
    <col min="20" max="20" width="29.88671875" bestFit="1" customWidth="1"/>
    <col min="21" max="21" width="31.88671875" bestFit="1" customWidth="1"/>
    <col min="22" max="22" width="32.109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Luiz Mário Andrade</cp:lastModifiedBy>
  <cp:lastPrinted>2022-03-22T10:33:10Z</cp:lastPrinted>
  <dcterms:created xsi:type="dcterms:W3CDTF">2020-06-29T21:30:31Z</dcterms:created>
  <dcterms:modified xsi:type="dcterms:W3CDTF">2022-12-22T23:16:57Z</dcterms:modified>
</cp:coreProperties>
</file>