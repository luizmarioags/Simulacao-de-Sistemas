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ca2dfc1885a742a/Documents/2021-2/Pesquisa Operacional para Engenharia/Arena/"/>
    </mc:Choice>
  </mc:AlternateContent>
  <xr:revisionPtr revIDLastSave="3" documentId="8_{F5015F95-E683-44CB-BA7D-FBDD96D7EADB}" xr6:coauthVersionLast="47" xr6:coauthVersionMax="47" xr10:uidLastSave="{82D9D17F-70B8-45E2-8138-0FA8D6666935}"/>
  <bookViews>
    <workbookView xWindow="-108" yWindow="-108" windowWidth="23256" windowHeight="12456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ContinuousTimeStatsByRep!$A$1:$L$14</definedName>
    <definedName name="ExternalData_1" localSheetId="4" hidden="1">CounterStatsByRep!$A$1:$G$2</definedName>
    <definedName name="ExternalData_1" localSheetId="2" hidden="1">DiscreteTimeStatsByRep!$A$1:$K$13</definedName>
    <definedName name="ExternalData_1" localSheetId="6" hidden="1">FrequencyStatsByRep!$A$1:$J$2</definedName>
    <definedName name="ExternalData_1" localSheetId="5" hidden="1">OutputStatsByRep!$A$1:$H$8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0" r:id="rId8"/>
    <pivotCache cacheId="46" r:id="rId9"/>
    <pivotCache cacheId="52" r:id="rId10"/>
    <pivotCache cacheId="58" r:id="rId11"/>
    <pivotCache cacheId="6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K3" i="20" s="1" a="1"/>
  <c r="K3" i="20" s="1"/>
  <c r="I4" i="20"/>
  <c r="I5" i="20"/>
  <c r="I6" i="20"/>
  <c r="I7" i="20"/>
  <c r="K7" i="20" s="1" a="1"/>
  <c r="K7" i="20" s="1"/>
  <c r="I8" i="20"/>
  <c r="O3" i="20" s="1" a="1"/>
  <c r="O3" i="20" s="1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L4" i="20" a="1"/>
  <c r="L4" i="20" s="1"/>
  <c r="L8" i="20" a="1"/>
  <c r="L8" i="20" s="1"/>
  <c r="M2" i="20" a="1"/>
  <c r="M2" i="20" s="1"/>
  <c r="M3" i="20" a="1"/>
  <c r="M3" i="20" s="1"/>
  <c r="M4" i="20" a="1"/>
  <c r="M4" i="20"/>
  <c r="M5" i="20" a="1"/>
  <c r="M5" i="20" s="1"/>
  <c r="M6" i="20" a="1"/>
  <c r="M6" i="20" s="1"/>
  <c r="M7" i="20" a="1"/>
  <c r="M7" i="20" s="1"/>
  <c r="M8" i="20" a="1"/>
  <c r="M8" i="20" s="1"/>
  <c r="M2" i="18"/>
  <c r="M3" i="18"/>
  <c r="O2" i="18" s="1" a="1"/>
  <c r="O2" i="18" s="1"/>
  <c r="M4" i="18"/>
  <c r="M5" i="18"/>
  <c r="M6" i="18"/>
  <c r="M7" i="18"/>
  <c r="M8" i="18"/>
  <c r="P9" i="18" s="1" a="1"/>
  <c r="P9" i="18" s="1"/>
  <c r="M9" i="18"/>
  <c r="M10" i="18"/>
  <c r="P10" i="18" s="1" a="1"/>
  <c r="P10" i="18" s="1"/>
  <c r="M11" i="18"/>
  <c r="M12" i="18"/>
  <c r="M13" i="18"/>
  <c r="M14" i="18"/>
  <c r="N2" i="18" a="1"/>
  <c r="N2" i="18" s="1"/>
  <c r="N3" i="18" a="1"/>
  <c r="N3" i="18" s="1"/>
  <c r="N4" i="18" a="1"/>
  <c r="N4" i="18" s="1"/>
  <c r="N5" i="18" a="1"/>
  <c r="N5" i="18" s="1"/>
  <c r="U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 s="1"/>
  <c r="Q14" i="18" a="1"/>
  <c r="Q14" i="18" s="1"/>
  <c r="L2" i="17"/>
  <c r="L3" i="17"/>
  <c r="L4" i="17"/>
  <c r="L5" i="17"/>
  <c r="L6" i="17"/>
  <c r="L7" i="17"/>
  <c r="L8" i="17"/>
  <c r="L9" i="17"/>
  <c r="L10" i="17"/>
  <c r="L11" i="17"/>
  <c r="O11" i="17" s="1" a="1"/>
  <c r="O11" i="17" s="1"/>
  <c r="L12" i="17"/>
  <c r="L13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O5" i="17" a="1"/>
  <c r="O5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S3" i="17" a="1"/>
  <c r="S3" i="17" s="1"/>
  <c r="U3" i="17" a="1"/>
  <c r="U3" i="17" s="1"/>
  <c r="V13" i="17" a="1"/>
  <c r="V13" i="17" s="1"/>
  <c r="X13" i="17" a="1"/>
  <c r="X13" i="17" s="1"/>
  <c r="G2" i="16"/>
  <c r="N8" i="20" l="1"/>
  <c r="N4" i="20"/>
  <c r="O6" i="20" a="1"/>
  <c r="O6" i="20" s="1"/>
  <c r="L7" i="20" a="1"/>
  <c r="L7" i="20" s="1"/>
  <c r="N7" i="20" s="1"/>
  <c r="L3" i="20" a="1"/>
  <c r="L3" i="20" s="1"/>
  <c r="N3" i="20" s="1"/>
  <c r="K6" i="20" a="1"/>
  <c r="K6" i="20" s="1"/>
  <c r="K2" i="20" a="1"/>
  <c r="K2" i="20" s="1"/>
  <c r="P2" i="20" a="1"/>
  <c r="P2" i="20" s="1"/>
  <c r="O5" i="20" a="1"/>
  <c r="O5" i="20" s="1"/>
  <c r="O2" i="20" a="1"/>
  <c r="O2" i="20" s="1"/>
  <c r="L2" i="20" a="1"/>
  <c r="L2" i="20" s="1"/>
  <c r="N2" i="20" s="1"/>
  <c r="K5" i="20" a="1"/>
  <c r="K5" i="20" s="1"/>
  <c r="L6" i="20" a="1"/>
  <c r="L6" i="20" s="1"/>
  <c r="N6" i="20" s="1"/>
  <c r="P5" i="20" a="1"/>
  <c r="P5" i="20" s="1"/>
  <c r="O8" i="20" a="1"/>
  <c r="O8" i="20" s="1"/>
  <c r="O4" i="20" a="1"/>
  <c r="O4" i="20" s="1"/>
  <c r="P7" i="20" a="1"/>
  <c r="P7" i="20" s="1"/>
  <c r="P6" i="20" a="1"/>
  <c r="P6" i="20" s="1"/>
  <c r="L5" i="20" a="1"/>
  <c r="L5" i="20" s="1"/>
  <c r="N5" i="20" s="1"/>
  <c r="K8" i="20" a="1"/>
  <c r="K8" i="20" s="1"/>
  <c r="K4" i="20" a="1"/>
  <c r="K4" i="20" s="1"/>
  <c r="P3" i="20" a="1"/>
  <c r="P3" i="20" s="1"/>
  <c r="P8" i="20" a="1"/>
  <c r="P8" i="20" s="1"/>
  <c r="P4" i="20" a="1"/>
  <c r="P4" i="20" s="1"/>
  <c r="O7" i="20" a="1"/>
  <c r="O7" i="20" s="1"/>
  <c r="P8" i="18" a="1"/>
  <c r="P8" i="18" s="1"/>
  <c r="P5" i="18" a="1"/>
  <c r="P5" i="18" s="1"/>
  <c r="S5" i="18" a="1"/>
  <c r="S5" i="18" s="1"/>
  <c r="P14" i="18" a="1"/>
  <c r="P14" i="18" s="1"/>
  <c r="O10" i="18" a="1"/>
  <c r="O10" i="18" s="1"/>
  <c r="O6" i="18" a="1"/>
  <c r="O6" i="18" s="1"/>
  <c r="S14" i="18" a="1"/>
  <c r="S14" i="18" s="1"/>
  <c r="S6" i="18" a="1"/>
  <c r="S6" i="18" s="1"/>
  <c r="P13" i="18" a="1"/>
  <c r="P13" i="18" s="1"/>
  <c r="P12" i="18" a="1"/>
  <c r="P12" i="18" s="1"/>
  <c r="R12" i="18" s="1"/>
  <c r="T14" i="18" a="1"/>
  <c r="T14" i="18" s="1"/>
  <c r="T10" i="18" a="1"/>
  <c r="T10" i="18" s="1"/>
  <c r="O14" i="18" a="1"/>
  <c r="O14" i="18" s="1"/>
  <c r="S10" i="18" a="1"/>
  <c r="S10" i="18" s="1"/>
  <c r="S2" i="18" a="1"/>
  <c r="S2" i="18" s="1"/>
  <c r="R10" i="18"/>
  <c r="U10" i="18"/>
  <c r="U3" i="18"/>
  <c r="U12" i="18"/>
  <c r="U11" i="18"/>
  <c r="U4" i="18"/>
  <c r="U9" i="18"/>
  <c r="R9" i="18"/>
  <c r="U2" i="18"/>
  <c r="R8" i="18"/>
  <c r="U8" i="18"/>
  <c r="U7" i="18"/>
  <c r="R14" i="18"/>
  <c r="U14" i="18"/>
  <c r="U6" i="18"/>
  <c r="R5" i="18"/>
  <c r="R13" i="18"/>
  <c r="U13" i="18"/>
  <c r="T11" i="18" a="1"/>
  <c r="T11" i="18" s="1"/>
  <c r="T7" i="18" a="1"/>
  <c r="T7" i="18" s="1"/>
  <c r="T3" i="18" a="1"/>
  <c r="T3" i="18" s="1"/>
  <c r="S12" i="18" a="1"/>
  <c r="S12" i="18" s="1"/>
  <c r="S8" i="18" a="1"/>
  <c r="S8" i="18" s="1"/>
  <c r="S4" i="18" a="1"/>
  <c r="S4" i="18" s="1"/>
  <c r="P4" i="18" a="1"/>
  <c r="P4" i="18" s="1"/>
  <c r="R4" i="18" s="1"/>
  <c r="O13" i="18" a="1"/>
  <c r="O13" i="18" s="1"/>
  <c r="O9" i="18" a="1"/>
  <c r="O9" i="18" s="1"/>
  <c r="O5" i="18" a="1"/>
  <c r="O5" i="18" s="1"/>
  <c r="S11" i="18" a="1"/>
  <c r="S11" i="18" s="1"/>
  <c r="S7" i="18" a="1"/>
  <c r="S7" i="18" s="1"/>
  <c r="S3" i="18" a="1"/>
  <c r="S3" i="18" s="1"/>
  <c r="T6" i="18" a="1"/>
  <c r="T6" i="18" s="1"/>
  <c r="P11" i="18" a="1"/>
  <c r="P11" i="18" s="1"/>
  <c r="R11" i="18" s="1"/>
  <c r="P3" i="18" a="1"/>
  <c r="P3" i="18" s="1"/>
  <c r="R3" i="18" s="1"/>
  <c r="O8" i="18" a="1"/>
  <c r="O8" i="18" s="1"/>
  <c r="O4" i="18" a="1"/>
  <c r="O4" i="18" s="1"/>
  <c r="T2" i="18" a="1"/>
  <c r="T2" i="18" s="1"/>
  <c r="P7" i="18" a="1"/>
  <c r="P7" i="18" s="1"/>
  <c r="R7" i="18" s="1"/>
  <c r="O12" i="18" a="1"/>
  <c r="O12" i="18" s="1"/>
  <c r="T13" i="18" a="1"/>
  <c r="T13" i="18" s="1"/>
  <c r="T9" i="18" a="1"/>
  <c r="T9" i="18" s="1"/>
  <c r="T5" i="18" a="1"/>
  <c r="T5" i="18" s="1"/>
  <c r="P6" i="18" a="1"/>
  <c r="P6" i="18" s="1"/>
  <c r="R6" i="18" s="1"/>
  <c r="P2" i="18" a="1"/>
  <c r="P2" i="18" s="1"/>
  <c r="R2" i="18" s="1"/>
  <c r="O11" i="18" a="1"/>
  <c r="O11" i="18" s="1"/>
  <c r="O7" i="18" a="1"/>
  <c r="O7" i="18" s="1"/>
  <c r="O3" i="18" a="1"/>
  <c r="O3" i="18" s="1"/>
  <c r="T12" i="18" a="1"/>
  <c r="T12" i="18" s="1"/>
  <c r="T8" i="18" a="1"/>
  <c r="T8" i="18" s="1"/>
  <c r="T4" i="18" a="1"/>
  <c r="T4" i="18" s="1"/>
  <c r="S13" i="18" a="1"/>
  <c r="S13" i="18" s="1"/>
  <c r="S9" i="18" a="1"/>
  <c r="S9" i="18" s="1"/>
  <c r="X11" i="17" a="1"/>
  <c r="X11" i="17" s="1"/>
  <c r="S10" i="17" a="1"/>
  <c r="S10" i="17" s="1"/>
  <c r="V5" i="17" a="1"/>
  <c r="V5" i="17" s="1"/>
  <c r="T7" i="17" a="1"/>
  <c r="T7" i="17" s="1"/>
  <c r="R5" i="17" a="1"/>
  <c r="R5" i="17" s="1"/>
  <c r="U13" i="17" a="1"/>
  <c r="U13" i="17" s="1"/>
  <c r="T5" i="17" a="1"/>
  <c r="T5" i="17" s="1"/>
  <c r="X6" i="17" a="1"/>
  <c r="X6" i="17" s="1"/>
  <c r="U11" i="17" a="1"/>
  <c r="U11" i="17" s="1"/>
  <c r="S13" i="17" a="1"/>
  <c r="S13" i="17" s="1"/>
  <c r="T9" i="17" a="1"/>
  <c r="T9" i="17" s="1"/>
  <c r="X10" i="17" a="1"/>
  <c r="X10" i="17" s="1"/>
  <c r="X9" i="17" a="1"/>
  <c r="X9" i="17" s="1"/>
  <c r="X5" i="17" a="1"/>
  <c r="X5" i="17" s="1"/>
  <c r="U9" i="17" a="1"/>
  <c r="U9" i="17" s="1"/>
  <c r="S11" i="17" a="1"/>
  <c r="S11" i="17" s="1"/>
  <c r="V7" i="17" a="1"/>
  <c r="V7" i="17" s="1"/>
  <c r="X3" i="17" a="1"/>
  <c r="X3" i="17" s="1"/>
  <c r="U5" i="17" a="1"/>
  <c r="U5" i="17" s="1"/>
  <c r="S9" i="17" a="1"/>
  <c r="S9" i="17" s="1"/>
  <c r="O13" i="17" a="1"/>
  <c r="O13" i="17" s="1"/>
  <c r="N2" i="17" a="1"/>
  <c r="N2" i="17" s="1"/>
  <c r="X12" i="17" a="1"/>
  <c r="X12" i="17" s="1"/>
  <c r="Y12" i="17" s="1"/>
  <c r="Q12" i="17" s="1"/>
  <c r="V9" i="17" a="1"/>
  <c r="V9" i="17" s="1"/>
  <c r="T13" i="17" a="1"/>
  <c r="T13" i="17" s="1"/>
  <c r="R13" i="17" a="1"/>
  <c r="R13" i="17" s="1"/>
  <c r="N9" i="17" a="1"/>
  <c r="N9" i="17" s="1"/>
  <c r="X8" i="17" a="1"/>
  <c r="X8" i="17" s="1"/>
  <c r="V4" i="17" a="1"/>
  <c r="V4" i="17" s="1"/>
  <c r="T12" i="17" a="1"/>
  <c r="T12" i="17" s="1"/>
  <c r="S8" i="17" a="1"/>
  <c r="S8" i="17" s="1"/>
  <c r="R12" i="17" a="1"/>
  <c r="R12" i="17" s="1"/>
  <c r="R4" i="17" a="1"/>
  <c r="R4" i="17" s="1"/>
  <c r="O12" i="17" a="1"/>
  <c r="O12" i="17" s="1"/>
  <c r="O4" i="17" a="1"/>
  <c r="O4" i="17" s="1"/>
  <c r="N8" i="17" a="1"/>
  <c r="N8" i="17" s="1"/>
  <c r="V12" i="17" a="1"/>
  <c r="V12" i="17" s="1"/>
  <c r="U8" i="17" a="1"/>
  <c r="U8" i="17" s="1"/>
  <c r="T4" i="17" a="1"/>
  <c r="T4" i="17" s="1"/>
  <c r="X7" i="17" a="1"/>
  <c r="X7" i="17" s="1"/>
  <c r="V11" i="17" a="1"/>
  <c r="V11" i="17" s="1"/>
  <c r="V3" i="17" a="1"/>
  <c r="V3" i="17" s="1"/>
  <c r="U7" i="17" a="1"/>
  <c r="U7" i="17" s="1"/>
  <c r="T11" i="17" a="1"/>
  <c r="T11" i="17" s="1"/>
  <c r="T3" i="17" a="1"/>
  <c r="T3" i="17" s="1"/>
  <c r="S7" i="17" a="1"/>
  <c r="S7" i="17" s="1"/>
  <c r="R11" i="17" a="1"/>
  <c r="R11" i="17" s="1"/>
  <c r="R3" i="17" a="1"/>
  <c r="R3" i="17" s="1"/>
  <c r="O3" i="17" a="1"/>
  <c r="O3" i="17" s="1"/>
  <c r="N7" i="17" a="1"/>
  <c r="N7" i="17" s="1"/>
  <c r="V10" i="17" a="1"/>
  <c r="V10" i="17" s="1"/>
  <c r="V2" i="17" a="1"/>
  <c r="V2" i="17" s="1"/>
  <c r="U6" i="17" a="1"/>
  <c r="U6" i="17" s="1"/>
  <c r="T10" i="17" a="1"/>
  <c r="T10" i="17" s="1"/>
  <c r="T2" i="17" a="1"/>
  <c r="T2" i="17" s="1"/>
  <c r="S6" i="17" a="1"/>
  <c r="S6" i="17" s="1"/>
  <c r="R10" i="17" a="1"/>
  <c r="R10" i="17" s="1"/>
  <c r="R2" i="17" a="1"/>
  <c r="R2" i="17" s="1"/>
  <c r="O10" i="17" a="1"/>
  <c r="O10" i="17" s="1"/>
  <c r="O2" i="17" a="1"/>
  <c r="O2" i="17" s="1"/>
  <c r="N6" i="17" a="1"/>
  <c r="N6" i="17" s="1"/>
  <c r="S5" i="17" a="1"/>
  <c r="S5" i="17" s="1"/>
  <c r="R9" i="17" a="1"/>
  <c r="R9" i="17" s="1"/>
  <c r="O9" i="17" a="1"/>
  <c r="O9" i="17" s="1"/>
  <c r="N13" i="17" a="1"/>
  <c r="N13" i="17" s="1"/>
  <c r="N5" i="17" a="1"/>
  <c r="N5" i="17" s="1"/>
  <c r="X4" i="17" a="1"/>
  <c r="X4" i="17" s="1"/>
  <c r="Y4" i="17" s="1"/>
  <c r="Q4" i="17" s="1"/>
  <c r="V8" i="17" a="1"/>
  <c r="V8" i="17" s="1"/>
  <c r="U12" i="17" a="1"/>
  <c r="U12" i="17" s="1"/>
  <c r="U4" i="17" a="1"/>
  <c r="U4" i="17" s="1"/>
  <c r="T8" i="17" a="1"/>
  <c r="T8" i="17" s="1"/>
  <c r="S12" i="17" a="1"/>
  <c r="S12" i="17" s="1"/>
  <c r="S4" i="17" a="1"/>
  <c r="S4" i="17" s="1"/>
  <c r="R8" i="17" a="1"/>
  <c r="R8" i="17" s="1"/>
  <c r="O8" i="17" a="1"/>
  <c r="O8" i="17" s="1"/>
  <c r="N12" i="17" a="1"/>
  <c r="N12" i="17" s="1"/>
  <c r="N4" i="17" a="1"/>
  <c r="N4" i="17" s="1"/>
  <c r="R7" i="17" a="1"/>
  <c r="R7" i="17" s="1"/>
  <c r="O7" i="17" a="1"/>
  <c r="O7" i="17" s="1"/>
  <c r="N11" i="17" a="1"/>
  <c r="N11" i="17" s="1"/>
  <c r="N3" i="17" a="1"/>
  <c r="N3" i="17" s="1"/>
  <c r="X2" i="17" a="1"/>
  <c r="X2" i="17" s="1"/>
  <c r="V6" i="17" a="1"/>
  <c r="V6" i="17" s="1"/>
  <c r="U10" i="17" a="1"/>
  <c r="U10" i="17" s="1"/>
  <c r="U2" i="17" a="1"/>
  <c r="U2" i="17" s="1"/>
  <c r="T6" i="17" a="1"/>
  <c r="T6" i="17" s="1"/>
  <c r="S2" i="17" a="1"/>
  <c r="S2" i="17" s="1"/>
  <c r="R6" i="17" a="1"/>
  <c r="R6" i="17" s="1"/>
  <c r="O6" i="17" a="1"/>
  <c r="O6" i="17" s="1"/>
  <c r="N10" i="17" a="1"/>
  <c r="N10" i="17" s="1"/>
  <c r="W4" i="17"/>
  <c r="Y9" i="17"/>
  <c r="W9" i="17"/>
  <c r="W5" i="17"/>
  <c r="Y5" i="17"/>
  <c r="Q5" i="17" s="1"/>
  <c r="W11" i="17"/>
  <c r="Y11" i="17"/>
  <c r="Q11" i="17" s="1"/>
  <c r="W13" i="17"/>
  <c r="Y13" i="17"/>
  <c r="Q13" i="17" s="1"/>
  <c r="W12" i="17"/>
  <c r="W3" i="17"/>
  <c r="Y3" i="17"/>
  <c r="Q3" i="17" s="1"/>
  <c r="Y10" i="17"/>
  <c r="W10" i="17"/>
  <c r="Y2" i="17"/>
  <c r="Q2" i="17" s="1"/>
  <c r="W2" i="17"/>
  <c r="Y8" i="17"/>
  <c r="W8" i="17"/>
  <c r="Y7" i="17"/>
  <c r="W7" i="17"/>
  <c r="Y6" i="17"/>
  <c r="Q6" i="17" s="1"/>
  <c r="W6" i="17"/>
  <c r="Q7" i="17" l="1"/>
  <c r="Q10" i="17"/>
  <c r="Q8" i="17"/>
  <c r="Q9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luizm\OneDrive\documents\2021-2\pesquisa operacional para engenharia\arena\modelo_correias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luizm\OneDrive\documents\2021-2\pesquisa operacional para engenharia\arena\modelo_correias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luizm\OneDrive\documents\2021-2\pesquisa operacional para engenharia\arena\modelo_correias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luizm\OneDrive\documents\2021-2\pesquisa operacional para engenharia\arena\modelo_correias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luizm\OneDrive\documents\2021-2\pesquisa operacional para engenharia\arena\modelo_correias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luizm\OneDrive\documents\2021-2\pesquisa operacional para engenharia\arena\modelo_correias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<sst xmlns="http://schemas.openxmlformats.org/spreadsheetml/2006/main" count="414" uniqueCount="106">
  <si>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</si>
  <si>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</si>
  <si>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</si>
  <si>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</si>
  <si>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</si>
  <si>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</si>
  <si>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</si>
  <si>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</si>
  <si>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</si>
  <si>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</si>
  <si>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</si>
  <si>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</si>
  <si>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</si>
  <si>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</si>
  <si>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</si>
  <si>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</si>
  <si>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</si>
  <si>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</si>
  <si>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</si>
  <si>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</si>
  <si>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</si>
  <si>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</si>
  <si>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</si>
  <si>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</si>
  <si>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</si>
  <si>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</si>
  <si>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</si>
  <si>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</si>
  <si>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</si>
  <si>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</si>
  <si>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</si>
  <si>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</si>
  <si>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</si>
  <si>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</si>
  <si>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</si>
  <si>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</si>
  <si>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</si>
  <si>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</si>
  <si>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</si>
  <si>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</si>
  <si>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</si>
  <si>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</si>
  <si>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</si>
  <si>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</si>
  <si>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</si>
  <si>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</si>
  <si>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</si>
  <si>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</si>
  <si>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</si>
  <si>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</si>
  <si>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</si>
  <si>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</si>
  <si>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</si>
  <si>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</si>
  <si>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</si>
  <si>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</si>
  <si>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</si>
  <si>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</si>
  <si>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</si>
  <si>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</si>
  <si>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</si>
  <si>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</si>
  <si>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</si>
  <si>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</si>
  <si>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</si>
  <si>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</si>
  <si>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</si>
  <si>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C:\Users\luizm\OneDrive\Documents\2021-2\Pesquisa Operacional para Engenharia\Arena\modelo_correias.p</t>
  </si>
  <si>
    <t>2023-01-05 20:06:01</t>
  </si>
  <si>
    <t>Access 1.Queue</t>
  </si>
  <si>
    <t>Waiting Time</t>
  </si>
  <si>
    <t>Queue</t>
  </si>
  <si>
    <t>Access 2.Queue</t>
  </si>
  <si>
    <t>Access 3.Queue</t>
  </si>
  <si>
    <t>Access 4.Queue</t>
  </si>
  <si>
    <t>PECAS</t>
  </si>
  <si>
    <t>NVA Time</t>
  </si>
  <si>
    <t>Entity</t>
  </si>
  <si>
    <t>Other Time</t>
  </si>
  <si>
    <t>Total Time</t>
  </si>
  <si>
    <t>Transfer Time</t>
  </si>
  <si>
    <t>VA Time</t>
  </si>
  <si>
    <t>Wait Time</t>
  </si>
  <si>
    <t>Processo Maquina A.Queue</t>
  </si>
  <si>
    <t>Processo Reparo.Queue</t>
  </si>
  <si>
    <t>Number Waiting</t>
  </si>
  <si>
    <t>Operador Maquina A</t>
  </si>
  <si>
    <t>Instantaneous Utilization</t>
  </si>
  <si>
    <t>Resource</t>
  </si>
  <si>
    <t>Number Busy</t>
  </si>
  <si>
    <t>Number Scheduled</t>
  </si>
  <si>
    <t>WIP</t>
  </si>
  <si>
    <t>Reparador</t>
  </si>
  <si>
    <t>Operador Maquina A.NumberSeized</t>
  </si>
  <si>
    <t>Total Number Seized</t>
  </si>
  <si>
    <t>Operador Maquina A.ScheduledUtilization</t>
  </si>
  <si>
    <t>Scheduled Utilization</t>
  </si>
  <si>
    <t>PECAS.NumberIn</t>
  </si>
  <si>
    <t>Number In</t>
  </si>
  <si>
    <t>PECAS.NumberOut</t>
  </si>
  <si>
    <t>Number Out</t>
  </si>
  <si>
    <t>Reparador.NumberSeized</t>
  </si>
  <si>
    <t>Reparador.ScheduledUtilization</t>
  </si>
  <si>
    <t>System.NumberOut</t>
  </si>
  <si>
    <t>System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</si>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</sst>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2"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numFmt numFmtId="166" formatCode="[=300000000000000000000]&quot;Correlated&quot;;;"/>
    </dxf>
    <dxf>
      <numFmt numFmtId="165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5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Mário Andrade" refreshedDate="44931.837647800923" createdVersion="7" refreshedVersion="8" minRefreshableVersion="3" recordCount="13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33">
        <s v="Access 1.Queue"/>
        <s v="Access 2.Queue"/>
        <s v="Access 3.Queue"/>
        <s v="Access 4.Queue"/>
        <s v="Operador Maquina A"/>
        <s v="PECAS"/>
        <s v="Processo Maquina A.Queue"/>
        <s v="Processo Reparo.Queue"/>
        <s v="Reparador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Number Waiting"/>
        <s v="Instantaneous Utilization"/>
        <s v="Number Busy"/>
        <s v="Number Scheduled"/>
        <s v="WIP"/>
        <m u="1"/>
        <s v="Levels" u="1"/>
      </sharedItems>
    </cacheField>
    <cacheField name="Source" numFmtId="0">
      <sharedItems containsBlank="1" count="5">
        <s v="Queue"/>
        <s v="Resource"/>
        <s v="Entity"/>
        <m u="1"/>
        <s v="User Specified" u="1"/>
      </sharedItems>
    </cacheField>
    <cacheField name="Average" numFmtId="0">
      <sharedItems containsSemiMixedTypes="0" containsString="0" containsNumber="1" minValue="0" maxValue="2.3822648502127102"/>
    </cacheField>
    <cacheField name="BatchMeansHalfWidth" numFmtId="0">
      <sharedItems containsSemiMixedTypes="0" containsString="0" containsNumber="1" minValue="2.7653082294344301E-2" maxValue="2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10"/>
    </cacheField>
    <cacheField name="LastRecordedValue" numFmtId="0">
      <sharedItems containsSemiMixedTypes="0" containsString="0" containsNumber="1" containsInteger="1" minValue="0" maxValue="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2.3822648502127102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2.3822648502127102"/>
    </cacheField>
    <cacheField name="MaximumAverage" numFmtId="0">
      <sharedItems containsSemiMixedTypes="0" containsString="0" containsNumber="1" minValue="0" maxValue="2.3822648502127102"/>
    </cacheField>
    <cacheField name="SummaryHalfWidth" numFmtId="0">
      <sharedItems containsSemiMixedTypes="0" containsString="0" containsNumber="1" minValue="2.7653082294344301E-2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Mário Andrade" refreshedDate="44931.837648148146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Mário Andrade" refreshedDate="44931.837648726854" createdVersion="7" refreshedVersion="8" minRefreshableVersion="3" recordCount="12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6">
        <s v="Access 1.Queue"/>
        <s v="Access 2.Queue"/>
        <s v="Access 3.Queue"/>
        <s v="Access 4.Queue"/>
        <s v="PECAS"/>
        <s v="Processo Maquina A.Queue"/>
        <s v="Processo Reparo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9.5100393222064294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2.9668303995147101"/>
    </cacheField>
    <cacheField name="Maximum" numFmtId="0">
      <sharedItems containsSemiMixedTypes="0" containsString="0" containsNumber="1" minValue="0" maxValue="29.972210820441401"/>
    </cacheField>
    <cacheField name="NumberObservations" numFmtId="0">
      <sharedItems containsSemiMixedTypes="0" containsString="0" containsNumber="1" containsInteger="1" minValue="193" maxValue="501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9.5100393222064294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9.5100393222064294"/>
    </cacheField>
    <cacheField name="MaximumAverage" numFmtId="0">
      <sharedItems containsSemiMixedTypes="0" containsString="0" containsNumber="1" minValue="0" maxValue="9.5100393222064294"/>
    </cacheField>
    <cacheField name="OverallMinimum" numFmtId="0">
      <sharedItems containsSemiMixedTypes="0" containsString="0" containsNumber="1" minValue="0" maxValue="2.9668303995147101"/>
    </cacheField>
    <cacheField name="OverallMaximum" numFmtId="0">
      <sharedItems containsSemiMixedTypes="0" containsString="0" containsNumber="1" minValue="0" maxValue="29.972210820441401"/>
    </cacheField>
    <cacheField name="AverageNumberObservations" numFmtId="0">
      <sharedItems containsSemiMixedTypes="0" containsString="0" containsNumber="1" containsInteger="1" minValue="193" maxValue="501"/>
    </cacheField>
    <cacheField name="SummaryHalfWidth" numFmtId="0">
      <sharedItems containsSemiMixedTypes="0" containsString="0" containsNumber="1" minValue="0" maxValue="3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Mário Andrade" refreshedDate="44931.837649074077" createdVersion="7" refreshedVersion="8" minRefreshableVersion="3" recordCount="7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5">
        <s v="Operador Maquina A.NumberSeized"/>
        <s v="Operador Maquina A.ScheduledUtilization"/>
        <s v="PECAS.NumberIn"/>
        <s v="PECAS.NumberOut"/>
        <s v="Reparador.NumberSeized"/>
        <s v="Reparador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.190621809248994" maxValue="50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190621809248994" maxValue="501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190621809248994" maxValue="501"/>
    </cacheField>
    <cacheField name="Maximum" numFmtId="0">
      <sharedItems containsSemiMixedTypes="0" containsString="0" containsNumber="1" minValue="0.190621809248994" maxValue="5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Mário Andrade" refreshedDate="44931.837649421293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s v="2023-01-05 20:06:01"/>
    <n v="1"/>
    <x v="0"/>
    <x v="0"/>
    <x v="0"/>
    <n v="9.25349080808656E-4"/>
    <n v="2E+20"/>
    <n v="0"/>
    <n v="2"/>
    <n v="0"/>
    <n v="0"/>
    <s v="Unnamed ProjectAccess 1.QueueNumber WaitingQueue"/>
    <n v="1"/>
    <n v="9.25349080808656E-4"/>
    <n v="0"/>
    <n v="0.95"/>
    <n v="4E+20"/>
    <n v="9.25349080808656E-4"/>
    <n v="9.25349080808656E-4"/>
    <n v="2E+20"/>
  </r>
  <r>
    <x v="0"/>
    <s v="2023-01-05 20:06:01"/>
    <n v="1"/>
    <x v="1"/>
    <x v="0"/>
    <x v="0"/>
    <n v="0"/>
    <n v="2E+20"/>
    <n v="0"/>
    <n v="1"/>
    <n v="0"/>
    <n v="0"/>
    <s v="Unnamed ProjectAccess 2.QueueNumber WaitingQueue"/>
    <n v="1"/>
    <n v="0"/>
    <n v="0"/>
    <n v="0.95"/>
    <n v="4E+20"/>
    <n v="0"/>
    <n v="0"/>
    <n v="2E+20"/>
  </r>
  <r>
    <x v="0"/>
    <s v="2023-01-05 20:06:01"/>
    <n v="1"/>
    <x v="2"/>
    <x v="0"/>
    <x v="0"/>
    <n v="0"/>
    <n v="2E+20"/>
    <n v="0"/>
    <n v="1"/>
    <n v="0"/>
    <n v="0"/>
    <s v="Unnamed ProjectAccess 3.QueueNumber WaitingQueue"/>
    <n v="1"/>
    <n v="0"/>
    <n v="0"/>
    <n v="0.95"/>
    <n v="4E+20"/>
    <n v="0"/>
    <n v="0"/>
    <n v="2E+20"/>
  </r>
  <r>
    <x v="0"/>
    <s v="2023-01-05 20:06:01"/>
    <n v="1"/>
    <x v="3"/>
    <x v="0"/>
    <x v="0"/>
    <n v="0"/>
    <n v="2E+20"/>
    <n v="0"/>
    <n v="1"/>
    <n v="0"/>
    <n v="0"/>
    <s v="Unnamed ProjectAccess 4.QueueNumber WaitingQueue"/>
    <n v="1"/>
    <n v="0"/>
    <n v="0"/>
    <n v="0.95"/>
    <n v="4E+20"/>
    <n v="0"/>
    <n v="0"/>
    <n v="2E+20"/>
  </r>
  <r>
    <x v="0"/>
    <s v="2023-01-05 20:06:01"/>
    <n v="1"/>
    <x v="4"/>
    <x v="1"/>
    <x v="1"/>
    <n v="0.74868654093925502"/>
    <n v="2E+20"/>
    <n v="0"/>
    <n v="1"/>
    <n v="0"/>
    <n v="0"/>
    <s v="Unnamed ProjectOperador Maquina AInstantaneous UtilizationResource"/>
    <n v="1"/>
    <n v="0.74868654093925502"/>
    <n v="0"/>
    <n v="0.95"/>
    <n v="4E+20"/>
    <n v="0.74868654093925502"/>
    <n v="0.74868654093925502"/>
    <n v="2E+20"/>
  </r>
  <r>
    <x v="0"/>
    <s v="2023-01-05 20:06:01"/>
    <n v="1"/>
    <x v="4"/>
    <x v="2"/>
    <x v="1"/>
    <n v="0.74868654093925502"/>
    <n v="2E+20"/>
    <n v="0"/>
    <n v="1"/>
    <n v="0"/>
    <n v="0"/>
    <s v="Unnamed ProjectOperador Maquina ANumber BusyResource"/>
    <n v="1"/>
    <n v="0.74868654093925502"/>
    <n v="0"/>
    <n v="0.95"/>
    <n v="4E+20"/>
    <n v="0.74868654093925502"/>
    <n v="0.74868654093925502"/>
    <n v="2E+20"/>
  </r>
  <r>
    <x v="0"/>
    <s v="2023-01-05 20:06:01"/>
    <n v="1"/>
    <x v="4"/>
    <x v="3"/>
    <x v="1"/>
    <n v="1"/>
    <n v="2E+20"/>
    <n v="1"/>
    <n v="1"/>
    <n v="1"/>
    <n v="0"/>
    <s v="Unnamed ProjectOperador Maquina ANumber ScheduledResource"/>
    <n v="1"/>
    <n v="1"/>
    <n v="0"/>
    <n v="0.95"/>
    <n v="4E+20"/>
    <n v="1"/>
    <n v="1"/>
    <n v="2E+20"/>
  </r>
  <r>
    <x v="0"/>
    <s v="2023-01-05 20:06:01"/>
    <n v="1"/>
    <x v="5"/>
    <x v="4"/>
    <x v="2"/>
    <n v="2.3822648502127102"/>
    <n v="0.55690931953633904"/>
    <n v="0"/>
    <n v="10"/>
    <n v="0"/>
    <n v="0"/>
    <s v="Unnamed ProjectPECASWIPEntity"/>
    <n v="1"/>
    <n v="2.3822648502127102"/>
    <n v="0"/>
    <n v="0.95"/>
    <n v="4E+20"/>
    <n v="2.3822648502127102"/>
    <n v="2.3822648502127102"/>
    <n v="0.55690931953633904"/>
  </r>
  <r>
    <x v="0"/>
    <s v="2023-01-05 20:06:01"/>
    <n v="1"/>
    <x v="6"/>
    <x v="0"/>
    <x v="0"/>
    <n v="1.1915846562052299"/>
    <n v="0.48201565561470999"/>
    <n v="0"/>
    <n v="9"/>
    <n v="0"/>
    <n v="0"/>
    <s v="Unnamed ProjectProcesso Maquina A.QueueNumber WaitingQueue"/>
    <n v="1"/>
    <n v="1.1915846562052299"/>
    <n v="0"/>
    <n v="0.95"/>
    <n v="4E+20"/>
    <n v="1.1915846562052299"/>
    <n v="1.1915846562052299"/>
    <n v="0.48201565561470999"/>
  </r>
  <r>
    <x v="0"/>
    <s v="2023-01-05 20:06:01"/>
    <n v="1"/>
    <x v="7"/>
    <x v="0"/>
    <x v="0"/>
    <n v="2.2149473839101601E-4"/>
    <n v="2E+20"/>
    <n v="0"/>
    <n v="1"/>
    <n v="0"/>
    <n v="0"/>
    <s v="Unnamed ProjectProcesso Reparo.QueueNumber WaitingQueue"/>
    <n v="1"/>
    <n v="2.2149473839101601E-4"/>
    <n v="0"/>
    <n v="0.95"/>
    <n v="4E+20"/>
    <n v="2.2149473839101601E-4"/>
    <n v="2.2149473839101601E-4"/>
    <n v="2E+20"/>
  </r>
  <r>
    <x v="0"/>
    <s v="2023-01-05 20:06:01"/>
    <n v="1"/>
    <x v="8"/>
    <x v="1"/>
    <x v="1"/>
    <n v="0.190621809248994"/>
    <n v="2.7653082294344301E-2"/>
    <n v="0"/>
    <n v="1"/>
    <n v="0"/>
    <n v="0"/>
    <s v="Unnamed ProjectReparadorInstantaneous UtilizationResource"/>
    <n v="1"/>
    <n v="0.190621809248994"/>
    <n v="0"/>
    <n v="0.95"/>
    <n v="4E+20"/>
    <n v="0.190621809248994"/>
    <n v="0.190621809248994"/>
    <n v="2.7653082294344301E-2"/>
  </r>
  <r>
    <x v="0"/>
    <s v="2023-01-05 20:06:01"/>
    <n v="1"/>
    <x v="8"/>
    <x v="2"/>
    <x v="1"/>
    <n v="0.190621809248994"/>
    <n v="2.7653082294344301E-2"/>
    <n v="0"/>
    <n v="1"/>
    <n v="0"/>
    <n v="0"/>
    <s v="Unnamed ProjectReparadorNumber BusyResource"/>
    <n v="1"/>
    <n v="0.190621809248994"/>
    <n v="0"/>
    <n v="0.95"/>
    <n v="4E+20"/>
    <n v="0.190621809248994"/>
    <n v="0.190621809248994"/>
    <n v="2.7653082294344301E-2"/>
  </r>
  <r>
    <x v="0"/>
    <s v="2023-01-05 20:06:01"/>
    <n v="1"/>
    <x v="8"/>
    <x v="3"/>
    <x v="1"/>
    <n v="1"/>
    <n v="2E+20"/>
    <n v="1"/>
    <n v="1"/>
    <n v="1"/>
    <n v="0"/>
    <s v="Unnamed ProjectReparadorNumber ScheduledResource"/>
    <n v="1"/>
    <n v="1"/>
    <n v="0"/>
    <n v="0.95"/>
    <n v="4E+20"/>
    <n v="1"/>
    <n v="1"/>
    <n v="2E+2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s v="2023-01-05 20:06:01"/>
    <n v="1"/>
    <x v="0"/>
    <x v="0"/>
    <x v="0"/>
    <n v="3.6940083066213801E-3"/>
    <n v="2.4702484583828499E-3"/>
    <n v="0"/>
    <n v="0.27741195832447801"/>
    <n v="501"/>
    <s v="Unnamed ProjectAccess 1.QueueWaiting TimeQueue"/>
    <n v="1"/>
    <n v="3.6940083066213801E-3"/>
    <n v="0"/>
    <n v="0.95"/>
    <n v="4E+20"/>
    <n v="3.6940083066213801E-3"/>
    <n v="3.6940083066213801E-3"/>
    <n v="0"/>
    <n v="0.27741195832447801"/>
    <n v="501"/>
    <n v="2.4702484583828499E-3"/>
    <n v="1"/>
    <n v="1"/>
  </r>
  <r>
    <x v="0"/>
    <s v="2023-01-05 20:06:01"/>
    <n v="1"/>
    <x v="1"/>
    <x v="0"/>
    <x v="0"/>
    <n v="0"/>
    <n v="2E+20"/>
    <n v="0"/>
    <n v="0"/>
    <n v="308"/>
    <s v="Unnamed ProjectAccess 2.QueueWaiting TimeQueue"/>
    <n v="1"/>
    <n v="0"/>
    <n v="0"/>
    <n v="0.95"/>
    <n v="4E+20"/>
    <n v="0"/>
    <n v="0"/>
    <n v="0"/>
    <n v="0"/>
    <n v="308"/>
    <n v="2E+20"/>
    <n v="1"/>
    <n v="1"/>
  </r>
  <r>
    <x v="0"/>
    <s v="2023-01-05 20:06:01"/>
    <n v="1"/>
    <x v="2"/>
    <x v="0"/>
    <x v="0"/>
    <n v="0"/>
    <n v="2E+20"/>
    <n v="0"/>
    <n v="0"/>
    <n v="193"/>
    <s v="Unnamed ProjectAccess 3.QueueWaiting TimeQueue"/>
    <n v="1"/>
    <n v="0"/>
    <n v="0"/>
    <n v="0.95"/>
    <n v="4E+20"/>
    <n v="0"/>
    <n v="0"/>
    <n v="0"/>
    <n v="0"/>
    <n v="193"/>
    <n v="2E+20"/>
    <n v="1"/>
    <n v="1"/>
  </r>
  <r>
    <x v="0"/>
    <s v="2023-01-05 20:06:01"/>
    <n v="1"/>
    <x v="3"/>
    <x v="0"/>
    <x v="0"/>
    <n v="0"/>
    <n v="2E+20"/>
    <n v="0"/>
    <n v="0"/>
    <n v="193"/>
    <s v="Unnamed ProjectAccess 4.QueueWaiting TimeQueue"/>
    <n v="1"/>
    <n v="0"/>
    <n v="0"/>
    <n v="0.95"/>
    <n v="4E+20"/>
    <n v="0"/>
    <n v="0"/>
    <n v="0"/>
    <n v="0"/>
    <n v="193"/>
    <n v="2E+20"/>
    <n v="1"/>
    <n v="1"/>
  </r>
  <r>
    <x v="0"/>
    <s v="2023-01-05 20:06:01"/>
    <n v="1"/>
    <x v="4"/>
    <x v="1"/>
    <x v="1"/>
    <n v="0"/>
    <n v="0"/>
    <n v="0"/>
    <n v="0"/>
    <n v="501"/>
    <s v="Unnamed ProjectPECASNVA TimeEntity"/>
    <n v="1"/>
    <n v="0"/>
    <n v="0"/>
    <n v="0.95"/>
    <n v="4E+20"/>
    <n v="0"/>
    <n v="0"/>
    <n v="0"/>
    <n v="0"/>
    <n v="501"/>
    <n v="0"/>
    <n v="1"/>
    <n v="1"/>
  </r>
  <r>
    <x v="0"/>
    <s v="2023-01-05 20:06:01"/>
    <n v="1"/>
    <x v="4"/>
    <x v="2"/>
    <x v="1"/>
    <n v="0.39753825681977001"/>
    <n v="6.2123650097944301E-3"/>
    <n v="0.33333333333325799"/>
    <n v="0.50000000000022704"/>
    <n v="501"/>
    <s v="Unnamed ProjectPECASOther TimeEntity"/>
    <n v="1"/>
    <n v="0.39753825681977001"/>
    <n v="0"/>
    <n v="0.95"/>
    <n v="4E+20"/>
    <n v="0.39753825681977001"/>
    <n v="0.39753825681977001"/>
    <n v="0.33333333333325799"/>
    <n v="0.50000000000022704"/>
    <n v="501"/>
    <n v="6.2123650097944301E-3"/>
    <n v="1"/>
    <n v="1"/>
  </r>
  <r>
    <x v="0"/>
    <s v="2023-01-05 20:06:01"/>
    <n v="1"/>
    <x v="4"/>
    <x v="3"/>
    <x v="1"/>
    <n v="9.5100393222064294"/>
    <n v="3E+20"/>
    <n v="2.9668303995147101"/>
    <n v="29.972210820441401"/>
    <n v="501"/>
    <s v="Unnamed ProjectPECASTotal TimeEntity"/>
    <n v="1"/>
    <n v="9.5100393222064294"/>
    <n v="0"/>
    <n v="0.95"/>
    <n v="4E+20"/>
    <n v="9.5100393222064294"/>
    <n v="9.5100393222064294"/>
    <n v="2.9668303995147101"/>
    <n v="29.972210820441401"/>
    <n v="501"/>
    <n v="3E+20"/>
    <n v="1"/>
    <n v="1"/>
  </r>
  <r>
    <x v="0"/>
    <s v="2023-01-05 20:06:01"/>
    <n v="1"/>
    <x v="4"/>
    <x v="4"/>
    <x v="1"/>
    <n v="0.36543579507656498"/>
    <n v="3.10618250489493E-3"/>
    <n v="0.33333333333314402"/>
    <n v="0.41666666666674201"/>
    <n v="501"/>
    <s v="Unnamed ProjectPECASTransfer TimeEntity"/>
    <n v="1"/>
    <n v="0.36543579507656498"/>
    <n v="0"/>
    <n v="0.95"/>
    <n v="4E+20"/>
    <n v="0.36543579507656498"/>
    <n v="0.36543579507656498"/>
    <n v="0.33333333333314402"/>
    <n v="0.41666666666674201"/>
    <n v="501"/>
    <n v="3.10618250489493E-3"/>
    <n v="1"/>
    <n v="1"/>
  </r>
  <r>
    <x v="0"/>
    <s v="2023-01-05 20:06:01"/>
    <n v="1"/>
    <x v="4"/>
    <x v="5"/>
    <x v="1"/>
    <n v="3.7497339328872199"/>
    <n v="8.3918150020658805E-2"/>
    <n v="2.0532283924059702"/>
    <n v="6.3088991754668804"/>
    <n v="501"/>
    <s v="Unnamed ProjectPECASVA TimeEntity"/>
    <n v="1"/>
    <n v="3.7497339328872199"/>
    <n v="0"/>
    <n v="0.95"/>
    <n v="4E+20"/>
    <n v="3.7497339328872199"/>
    <n v="3.7497339328872199"/>
    <n v="2.0532283924059702"/>
    <n v="6.3088991754668804"/>
    <n v="501"/>
    <n v="8.3918150020658805E-2"/>
    <n v="1"/>
    <n v="1"/>
  </r>
  <r>
    <x v="0"/>
    <s v="2023-01-05 20:06:01"/>
    <n v="1"/>
    <x v="4"/>
    <x v="6"/>
    <x v="1"/>
    <n v="4.9973313374228798"/>
    <n v="3E+20"/>
    <n v="0.21666666666658299"/>
    <n v="25.247594069491701"/>
    <n v="501"/>
    <s v="Unnamed ProjectPECASWait TimeEntity"/>
    <n v="1"/>
    <n v="4.9973313374228798"/>
    <n v="0"/>
    <n v="0.95"/>
    <n v="4E+20"/>
    <n v="4.9973313374228798"/>
    <n v="4.9973313374228798"/>
    <n v="0.21666666666658299"/>
    <n v="25.247594069491701"/>
    <n v="501"/>
    <n v="3E+20"/>
    <n v="1"/>
    <n v="1"/>
  </r>
  <r>
    <x v="0"/>
    <s v="2023-01-05 20:06:01"/>
    <n v="1"/>
    <x v="5"/>
    <x v="0"/>
    <x v="0"/>
    <n v="4.7568249748711997"/>
    <n v="3E+20"/>
    <n v="0"/>
    <n v="24.980927402824999"/>
    <n v="501"/>
    <s v="Unnamed ProjectProcesso Maquina A.QueueWaiting TimeQueue"/>
    <n v="1"/>
    <n v="4.7568249748711997"/>
    <n v="0"/>
    <n v="0.95"/>
    <n v="4E+20"/>
    <n v="4.7568249748711997"/>
    <n v="4.7568249748711997"/>
    <n v="0"/>
    <n v="24.980927402824999"/>
    <n v="501"/>
    <n v="3E+20"/>
    <n v="1"/>
    <n v="1"/>
  </r>
  <r>
    <x v="0"/>
    <s v="2023-01-05 20:06:01"/>
    <n v="1"/>
    <x v="6"/>
    <x v="0"/>
    <x v="0"/>
    <n v="2.2952822631193302E-3"/>
    <n v="2E+20"/>
    <n v="0"/>
    <n v="0.25188853670351802"/>
    <n v="193"/>
    <s v="Unnamed ProjectProcesso Reparo.QueueWaiting TimeQueue"/>
    <n v="1"/>
    <n v="2.2952822631193302E-3"/>
    <n v="0"/>
    <n v="0.95"/>
    <n v="4E+20"/>
    <n v="2.2952822631193302E-3"/>
    <n v="2.2952822631193302E-3"/>
    <n v="0"/>
    <n v="0.25188853670351802"/>
    <n v="193"/>
    <n v="2E+20"/>
    <n v="1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2023-01-05 20:06:01"/>
    <n v="1"/>
    <x v="0"/>
    <x v="0"/>
    <x v="0"/>
    <n v="501"/>
    <n v="0"/>
    <s v="Unnamed ProjectOperador Maquina A.NumberSeizedTotal Number SeizedResource"/>
    <n v="1"/>
    <n v="501"/>
    <n v="0"/>
    <n v="0.95"/>
    <n v="4E+20"/>
    <n v="501"/>
    <n v="501"/>
  </r>
  <r>
    <x v="0"/>
    <s v="2023-01-05 20:06:01"/>
    <n v="1"/>
    <x v="1"/>
    <x v="1"/>
    <x v="0"/>
    <n v="0.74868654093925502"/>
    <n v="0"/>
    <s v="Unnamed ProjectOperador Maquina A.ScheduledUtilizationScheduled UtilizationResource"/>
    <n v="1"/>
    <n v="0.74868654093925502"/>
    <n v="0"/>
    <n v="0.95"/>
    <n v="4E+20"/>
    <n v="0.74868654093925502"/>
    <n v="0.74868654093925502"/>
  </r>
  <r>
    <x v="0"/>
    <s v="2023-01-05 20:06:01"/>
    <n v="1"/>
    <x v="2"/>
    <x v="2"/>
    <x v="1"/>
    <n v="501"/>
    <n v="0"/>
    <s v="Unnamed ProjectPECAS.NumberInNumber InEntity"/>
    <n v="1"/>
    <n v="501"/>
    <n v="0"/>
    <n v="0.95"/>
    <n v="4E+20"/>
    <n v="501"/>
    <n v="501"/>
  </r>
  <r>
    <x v="0"/>
    <s v="2023-01-05 20:06:01"/>
    <n v="1"/>
    <x v="3"/>
    <x v="3"/>
    <x v="1"/>
    <n v="501"/>
    <n v="0"/>
    <s v="Unnamed ProjectPECAS.NumberOutNumber OutEntity"/>
    <n v="1"/>
    <n v="501"/>
    <n v="0"/>
    <n v="0.95"/>
    <n v="4E+20"/>
    <n v="501"/>
    <n v="501"/>
  </r>
  <r>
    <x v="0"/>
    <s v="2023-01-05 20:06:01"/>
    <n v="1"/>
    <x v="4"/>
    <x v="0"/>
    <x v="0"/>
    <n v="193"/>
    <n v="0"/>
    <s v="Unnamed ProjectReparador.NumberSeizedTotal Number SeizedResource"/>
    <n v="1"/>
    <n v="193"/>
    <n v="0"/>
    <n v="0.95"/>
    <n v="4E+20"/>
    <n v="193"/>
    <n v="193"/>
  </r>
  <r>
    <x v="0"/>
    <s v="2023-01-05 20:06:01"/>
    <n v="1"/>
    <x v="5"/>
    <x v="1"/>
    <x v="0"/>
    <n v="0.190621809248994"/>
    <n v="0"/>
    <s v="Unnamed ProjectReparador.ScheduledUtilizationScheduled UtilizationResource"/>
    <n v="1"/>
    <n v="0.190621809248994"/>
    <n v="0"/>
    <n v="0.95"/>
    <n v="4E+20"/>
    <n v="0.190621809248994"/>
    <n v="0.190621809248994"/>
  </r>
  <r>
    <x v="0"/>
    <s v="2023-01-05 20:06:01"/>
    <n v="1"/>
    <x v="6"/>
    <x v="3"/>
    <x v="2"/>
    <n v="501"/>
    <n v="0"/>
    <s v="Unnamed ProjectSystem.NumberOutNumber OutSystem"/>
    <n v="1"/>
    <n v="501"/>
    <n v="0"/>
    <n v="0.95"/>
    <n v="4E+20"/>
    <n v="501"/>
    <n v="50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5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3">
        <item m="1" x="24"/>
        <item m="1" x="15"/>
        <item m="1" x="31"/>
        <item m="1" x="40"/>
        <item m="1" x="53"/>
        <item m="1" x="52"/>
        <item m="1" x="16"/>
        <item m="1" x="117"/>
        <item m="1" x="95"/>
        <item m="1" x="58"/>
        <item m="1" x="45"/>
        <item m="1" x="49"/>
        <item m="1" x="131"/>
        <item m="1" x="34"/>
        <item m="1" x="116"/>
        <item m="1" x="38"/>
        <item m="1" x="89"/>
        <item m="1" x="103"/>
        <item m="1" x="13"/>
        <item m="1" x="39"/>
        <item m="1" x="126"/>
        <item m="1" x="28"/>
        <item m="1" x="118"/>
        <item m="1" x="17"/>
        <item m="1" x="44"/>
        <item m="1" x="70"/>
        <item m="1" x="14"/>
        <item m="1" x="20"/>
        <item m="1" x="90"/>
        <item m="1" x="71"/>
        <item m="1" x="105"/>
        <item m="1" x="61"/>
        <item m="1" x="25"/>
        <item m="1" x="55"/>
        <item m="1" x="91"/>
        <item m="1" x="76"/>
        <item m="1" x="26"/>
        <item m="1" x="36"/>
        <item m="1" x="98"/>
        <item m="1" x="12"/>
        <item m="1" x="125"/>
        <item m="1" x="83"/>
        <item m="1" x="23"/>
        <item m="1" x="108"/>
        <item m="1" x="54"/>
        <item m="1" x="127"/>
        <item m="1" x="88"/>
        <item m="1" x="30"/>
        <item m="1" x="75"/>
        <item m="1" x="94"/>
        <item m="1" x="107"/>
        <item m="1" x="115"/>
        <item m="1" x="124"/>
        <item m="1" x="11"/>
        <item m="1" x="29"/>
        <item m="1" x="43"/>
        <item m="1" x="32"/>
        <item m="1" x="10"/>
        <item m="1" x="104"/>
        <item m="1" x="121"/>
        <item m="1" x="47"/>
        <item m="1" x="82"/>
        <item m="1" x="35"/>
        <item m="1" x="56"/>
        <item m="1" x="41"/>
        <item m="1" x="65"/>
        <item m="1" x="50"/>
        <item m="1" x="72"/>
        <item m="1" x="57"/>
        <item m="1" x="84"/>
        <item m="1" x="66"/>
        <item m="1" x="92"/>
        <item m="1" x="73"/>
        <item m="1" x="101"/>
        <item m="1" x="85"/>
        <item m="1" x="106"/>
        <item m="1" x="93"/>
        <item m="1" x="110"/>
        <item m="1" x="122"/>
        <item m="1" x="112"/>
        <item m="1" x="96"/>
        <item m="1" x="69"/>
        <item m="1" x="48"/>
        <item m="1" x="63"/>
        <item m="1" x="27"/>
        <item m="1" x="33"/>
        <item m="1" x="42"/>
        <item m="1" x="46"/>
        <item m="1" x="78"/>
        <item m="1" x="123"/>
        <item m="1" x="113"/>
        <item m="1" x="97"/>
        <item m="1" x="64"/>
        <item m="1" x="132"/>
        <item m="1" x="80"/>
        <item m="1" x="68"/>
        <item m="1" x="100"/>
        <item m="1" x="81"/>
        <item m="1" x="60"/>
        <item m="1" x="67"/>
        <item m="1" x="21"/>
        <item m="1" x="86"/>
        <item m="1" x="102"/>
        <item m="1" x="111"/>
        <item m="1" x="119"/>
        <item m="1" x="130"/>
        <item m="1" x="18"/>
        <item m="1" x="37"/>
        <item m="1" x="129"/>
        <item m="1" x="19"/>
        <item m="1" x="87"/>
        <item m="1" x="62"/>
        <item m="1" x="77"/>
        <item m="1" x="22"/>
        <item m="1" x="128"/>
        <item m="1" x="109"/>
        <item m="1" x="59"/>
        <item m="1" x="120"/>
        <item m="1" x="79"/>
        <item m="1" x="99"/>
        <item m="1" x="114"/>
        <item m="1" x="51"/>
        <item m="1" x="74"/>
        <item m="1" x="9"/>
        <item x="0"/>
        <item x="1"/>
        <item x="2"/>
        <item x="3"/>
        <item x="4"/>
        <item x="5"/>
        <item x="6"/>
        <item x="7"/>
        <item x="8"/>
      </items>
    </pivotField>
    <pivotField axis="axisRow" compact="0" outline="0" showAll="0" defaultSubtotal="0">
      <items count="7">
        <item x="1"/>
        <item x="2"/>
        <item x="3"/>
        <item x="0"/>
        <item x="4"/>
        <item m="1" x="6"/>
        <item m="1" x="5"/>
      </items>
    </pivotField>
    <pivotField axis="axisRow" compact="0" outline="0" showAll="0" defaultSubtotal="0">
      <items count="5">
        <item x="2"/>
        <item x="0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3">
    <i>
      <x v="3"/>
      <x v="124"/>
      <x v="3"/>
      <x v="1"/>
    </i>
    <i r="1">
      <x v="125"/>
      <x v="3"/>
      <x v="1"/>
    </i>
    <i r="1">
      <x v="126"/>
      <x v="3"/>
      <x v="1"/>
    </i>
    <i r="1">
      <x v="127"/>
      <x v="3"/>
      <x v="1"/>
    </i>
    <i r="1">
      <x v="128"/>
      <x/>
      <x v="2"/>
    </i>
    <i r="2">
      <x v="1"/>
      <x v="2"/>
    </i>
    <i r="2">
      <x v="2"/>
      <x v="2"/>
    </i>
    <i r="1">
      <x v="129"/>
      <x v="4"/>
      <x/>
    </i>
    <i r="1">
      <x v="130"/>
      <x v="3"/>
      <x v="1"/>
    </i>
    <i r="1">
      <x v="131"/>
      <x v="3"/>
      <x v="1"/>
    </i>
    <i r="1">
      <x v="132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5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4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6">
        <item m="1" x="17"/>
        <item m="1" x="40"/>
        <item m="1" x="12"/>
        <item m="1" x="92"/>
        <item m="1" x="75"/>
        <item m="1" x="45"/>
        <item m="1" x="101"/>
        <item m="1" x="33"/>
        <item m="1" x="37"/>
        <item m="1" x="104"/>
        <item m="1" x="70"/>
        <item m="1" x="82"/>
        <item m="1" x="87"/>
        <item m="1" x="11"/>
        <item m="1" x="39"/>
        <item m="1" x="29"/>
        <item m="1" x="105"/>
        <item m="1" x="99"/>
        <item m="1" x="27"/>
        <item m="1" x="21"/>
        <item m="1" x="93"/>
        <item m="1" x="13"/>
        <item m="1" x="46"/>
        <item m="1" x="32"/>
        <item m="1" x="57"/>
        <item m="1" x="84"/>
        <item m="1" x="48"/>
        <item m="1" x="18"/>
        <item m="1" x="42"/>
        <item m="1" x="71"/>
        <item m="1" x="61"/>
        <item m="1" x="19"/>
        <item m="1" x="78"/>
        <item m="1" x="10"/>
        <item m="1" x="98"/>
        <item m="1" x="66"/>
        <item m="1" x="86"/>
        <item m="1" x="41"/>
        <item m="1" x="100"/>
        <item m="1" x="69"/>
        <item m="1" x="23"/>
        <item m="1" x="60"/>
        <item m="1" x="74"/>
        <item m="1" x="85"/>
        <item m="1" x="91"/>
        <item m="1" x="9"/>
        <item m="1" x="22"/>
        <item m="1" x="31"/>
        <item m="1" x="24"/>
        <item m="1" x="8"/>
        <item m="1" x="83"/>
        <item m="1" x="95"/>
        <item m="1" x="35"/>
        <item m="1" x="65"/>
        <item m="1" x="26"/>
        <item m="1" x="43"/>
        <item m="1" x="30"/>
        <item m="1" x="51"/>
        <item m="1" x="38"/>
        <item m="1" x="58"/>
        <item m="1" x="44"/>
        <item m="1" x="67"/>
        <item m="1" x="52"/>
        <item m="1" x="72"/>
        <item m="1" x="59"/>
        <item m="1" x="80"/>
        <item m="1" x="73"/>
        <item m="1" x="88"/>
        <item m="1" x="96"/>
        <item m="1" x="76"/>
        <item m="1" x="55"/>
        <item m="1" x="36"/>
        <item m="1" x="49"/>
        <item m="1" x="20"/>
        <item m="1" x="25"/>
        <item m="1" x="34"/>
        <item m="1" x="62"/>
        <item m="1" x="97"/>
        <item m="1" x="90"/>
        <item m="1" x="77"/>
        <item m="1" x="50"/>
        <item m="1" x="63"/>
        <item m="1" x="54"/>
        <item m="1" x="79"/>
        <item m="1" x="64"/>
        <item m="1" x="47"/>
        <item m="1" x="53"/>
        <item m="1" x="16"/>
        <item m="1" x="56"/>
        <item m="1" x="68"/>
        <item m="1" x="81"/>
        <item m="1" x="89"/>
        <item m="1" x="94"/>
        <item m="1" x="103"/>
        <item m="1" x="14"/>
        <item m="1" x="28"/>
        <item m="1" x="102"/>
        <item m="1" x="15"/>
        <item m="1" x="7"/>
        <item x="0"/>
        <item x="1"/>
        <item x="2"/>
        <item x="3"/>
        <item x="4"/>
        <item x="5"/>
        <item x="6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2">
    <i>
      <x v="3"/>
      <x v="99"/>
      <x v="7"/>
      <x v="1"/>
    </i>
    <i r="1">
      <x v="100"/>
      <x v="7"/>
      <x v="1"/>
    </i>
    <i r="1">
      <x v="101"/>
      <x v="7"/>
      <x v="1"/>
    </i>
    <i r="1">
      <x v="102"/>
      <x v="7"/>
      <x v="1"/>
    </i>
    <i r="1">
      <x v="103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4"/>
      <x v="7"/>
      <x v="1"/>
    </i>
    <i r="1">
      <x v="105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5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9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5">
        <item m="1" x="32"/>
        <item m="1" x="8"/>
        <item m="1" x="33"/>
        <item m="1" x="9"/>
        <item m="1" x="34"/>
        <item m="1" x="10"/>
        <item m="1" x="35"/>
        <item m="1" x="11"/>
        <item m="1" x="67"/>
        <item m="1" x="22"/>
        <item x="6"/>
        <item m="1" x="66"/>
        <item m="1" x="53"/>
        <item m="1" x="70"/>
        <item m="1" x="55"/>
        <item m="1" x="71"/>
        <item m="1" x="78"/>
        <item m="1" x="47"/>
        <item m="1" x="15"/>
        <item m="1" x="64"/>
        <item m="1" x="54"/>
        <item m="1" x="52"/>
        <item m="1" x="18"/>
        <item m="1" x="62"/>
        <item m="1" x="27"/>
        <item m="1" x="63"/>
        <item m="1" x="28"/>
        <item m="1" x="61"/>
        <item m="1" x="81"/>
        <item m="1" x="21"/>
        <item m="1" x="84"/>
        <item m="1" x="49"/>
        <item m="1" x="16"/>
        <item m="1" x="79"/>
        <item m="1" x="74"/>
        <item m="1" x="50"/>
        <item m="1" x="17"/>
        <item m="1" x="80"/>
        <item m="1" x="75"/>
        <item m="1" x="12"/>
        <item m="1" x="46"/>
        <item m="1" x="30"/>
        <item m="1" x="20"/>
        <item m="1" x="72"/>
        <item m="1" x="42"/>
        <item m="1" x="73"/>
        <item m="1" x="43"/>
        <item m="1" x="29"/>
        <item m="1" x="24"/>
        <item m="1" x="51"/>
        <item m="1" x="26"/>
        <item m="1" x="83"/>
        <item m="1" x="76"/>
        <item m="1" x="25"/>
        <item m="1" x="23"/>
        <item m="1" x="68"/>
        <item m="1" x="77"/>
        <item m="1" x="13"/>
        <item m="1" x="31"/>
        <item m="1" x="44"/>
        <item m="1" x="65"/>
        <item m="1" x="82"/>
        <item m="1" x="14"/>
        <item m="1" x="41"/>
        <item m="1" x="45"/>
        <item m="1" x="69"/>
        <item m="1" x="48"/>
        <item m="1" x="19"/>
        <item m="1" x="36"/>
        <item m="1" x="56"/>
        <item m="1" x="37"/>
        <item m="1" x="57"/>
        <item m="1" x="38"/>
        <item m="1" x="58"/>
        <item m="1" x="39"/>
        <item m="1" x="59"/>
        <item m="1" x="40"/>
        <item m="1" x="60"/>
        <item m="1" x="7"/>
        <item x="0"/>
        <item x="1"/>
        <item x="2"/>
        <item x="3"/>
        <item x="4"/>
        <item x="5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7">
    <i>
      <x v="3"/>
      <x v="10"/>
      <x v="1"/>
      <x v="2"/>
    </i>
    <i r="1">
      <x v="79"/>
      <x v="3"/>
      <x v="1"/>
    </i>
    <i r="1">
      <x v="80"/>
      <x v="2"/>
      <x v="1"/>
    </i>
    <i r="1">
      <x v="81"/>
      <x/>
      <x/>
    </i>
    <i r="1">
      <x v="82"/>
      <x v="1"/>
      <x/>
    </i>
    <i r="1">
      <x v="83"/>
      <x v="3"/>
      <x v="1"/>
    </i>
    <i r="1">
      <x v="84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3" tableType="queryTable" totalsRowShown="0">
  <autoFilter ref="A1:Y13" xr:uid="{C3D003CA-1AFF-426C-A03D-D3AF5760DF1A}"/>
  <sortState xmlns:xlrd2="http://schemas.microsoft.com/office/spreadsheetml/2017/richdata2" ref="A2:Y13">
    <sortCondition ref="D1:D13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70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9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8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7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6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5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4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3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2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1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60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9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8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7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4" tableType="queryTable" totalsRowShown="0">
  <autoFilter ref="A1:U14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6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5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4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3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2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1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50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9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8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8" tableType="queryTable" totalsRowShown="0">
  <autoFilter ref="A1:P8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1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0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39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38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7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6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5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4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.4" x14ac:dyDescent="0.3"/>
  <cols>
    <col min="1" max="1" width="15.21875" bestFit="1" customWidth="1"/>
    <col min="2" max="2" width="80.88671875" bestFit="1" customWidth="1"/>
    <col min="3" max="3" width="18.109375" bestFit="1" customWidth="1"/>
    <col min="4" max="4" width="11.6640625" bestFit="1" customWidth="1"/>
    <col min="5" max="5" width="22.44140625" bestFit="1" customWidth="1"/>
    <col min="6" max="6" width="24.21875" bestFit="1" customWidth="1"/>
    <col min="7" max="10" width="19.44140625" bestFit="1" customWidth="1"/>
    <col min="11" max="11" width="19.4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67</v>
      </c>
      <c r="C2" t="s">
        <v>68</v>
      </c>
      <c r="D2">
        <v>2</v>
      </c>
      <c r="E2">
        <v>1</v>
      </c>
      <c r="F2">
        <v>2000</v>
      </c>
      <c r="G2">
        <f>0.95</f>
        <v>0.95</v>
      </c>
    </row>
  </sheetData>
  <phoneticPr fontId="2" type="noConversion"/>
  <conditionalFormatting sqref="D2">
    <cfRule type="expression" dxfId="33" priority="1">
      <formula>D2=3</formula>
    </cfRule>
    <cfRule type="expression" dxfId="32" priority="2">
      <formula>D2=2</formula>
    </cfRule>
    <cfRule type="expression" dxfId="31" priority="3">
      <formula>D2=1</formula>
    </cfRule>
    <cfRule type="expression" dxfId="30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5"/>
  <sheetViews>
    <sheetView tabSelected="1" workbookViewId="0"/>
  </sheetViews>
  <sheetFormatPr defaultRowHeight="14.4" x14ac:dyDescent="0.3"/>
  <cols>
    <col min="1" max="1" width="33.21875" customWidth="1"/>
    <col min="2" max="2" width="28.6640625" bestFit="1" customWidth="1"/>
    <col min="3" max="3" width="12.5546875" bestFit="1" customWidth="1"/>
    <col min="4" max="4" width="9" bestFit="1" customWidth="1"/>
    <col min="5" max="5" width="28.6640625" bestFit="1" customWidth="1"/>
    <col min="6" max="6" width="19.5546875" bestFit="1" customWidth="1"/>
    <col min="7" max="7" width="12" bestFit="1" customWidth="1"/>
    <col min="8" max="8" width="26.6640625" bestFit="1" customWidth="1"/>
    <col min="9" max="9" width="26.77734375" bestFit="1" customWidth="1"/>
    <col min="10" max="10" width="27.109375" bestFit="1" customWidth="1"/>
    <col min="11" max="11" width="16" bestFit="1" customWidth="1"/>
    <col min="12" max="12" width="16.33203125" bestFit="1" customWidth="1"/>
    <col min="13" max="13" width="29.10937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546875" bestFit="1" customWidth="1"/>
    <col min="18" max="18" width="9" bestFit="1" customWidth="1"/>
    <col min="19" max="19" width="28.6640625" bestFit="1" customWidth="1"/>
    <col min="20" max="20" width="12" bestFit="1" customWidth="1"/>
    <col min="21" max="21" width="26.6640625" bestFit="1" customWidth="1"/>
    <col min="22" max="22" width="21.77734375" bestFit="1" customWidth="1"/>
    <col min="23" max="23" width="22.109375" bestFit="1" customWidth="1"/>
    <col min="24" max="24" width="16" bestFit="1" customWidth="1"/>
    <col min="25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9" bestFit="1" customWidth="1"/>
    <col min="31" max="31" width="24.6640625" bestFit="1" customWidth="1"/>
    <col min="32" max="32" width="10.109375" bestFit="1" customWidth="1"/>
    <col min="33" max="33" width="29.109375" bestFit="1" customWidth="1"/>
    <col min="34" max="34" width="19.5546875" bestFit="1" customWidth="1"/>
    <col min="35" max="36" width="19.8867187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9" bestFit="1" customWidth="1"/>
    <col min="41" max="41" width="24.6640625" bestFit="1" customWidth="1"/>
    <col min="42" max="42" width="10.109375" bestFit="1" customWidth="1"/>
    <col min="43" max="43" width="29.109375" bestFit="1" customWidth="1"/>
    <col min="44" max="44" width="19.5546875" bestFit="1" customWidth="1"/>
    <col min="45" max="46" width="19.88671875" bestFit="1" customWidth="1"/>
    <col min="47" max="47" width="14.88671875" bestFit="1" customWidth="1"/>
    <col min="48" max="48" width="20.6640625" bestFit="1" customWidth="1"/>
    <col min="49" max="49" width="26.33203125" bestFit="1" customWidth="1"/>
    <col min="50" max="50" width="9" bestFit="1" customWidth="1"/>
    <col min="51" max="51" width="26.33203125" bestFit="1" customWidth="1"/>
    <col min="52" max="53" width="27" bestFit="1" customWidth="1"/>
    <col min="54" max="54" width="24.88671875" bestFit="1" customWidth="1"/>
    <col min="55" max="55" width="29.21875" bestFit="1" customWidth="1"/>
    <col min="56" max="56" width="31.88671875" bestFit="1" customWidth="1"/>
    <col min="57" max="57" width="21.77734375" bestFit="1" customWidth="1"/>
  </cols>
  <sheetData>
    <row r="1" spans="1:52" ht="18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69</v>
      </c>
      <c r="C3" t="s">
        <v>70</v>
      </c>
      <c r="D3" t="s">
        <v>71</v>
      </c>
      <c r="E3" s="5">
        <v>3.6940083066213801E-3</v>
      </c>
      <c r="F3" s="5">
        <v>1</v>
      </c>
      <c r="G3" s="5">
        <v>2.4702484583828499E-3</v>
      </c>
      <c r="H3" s="5">
        <v>0</v>
      </c>
      <c r="I3" s="5">
        <v>3.6940083066213801E-3</v>
      </c>
      <c r="J3" s="5">
        <v>3.6940083066213801E-3</v>
      </c>
      <c r="K3" s="5">
        <v>0</v>
      </c>
      <c r="L3" s="5">
        <v>0.27741195832447801</v>
      </c>
      <c r="M3" s="5">
        <v>501</v>
      </c>
      <c r="O3" t="s">
        <v>66</v>
      </c>
      <c r="P3" t="s">
        <v>69</v>
      </c>
      <c r="Q3" t="s">
        <v>85</v>
      </c>
      <c r="R3" t="s">
        <v>71</v>
      </c>
      <c r="S3" s="5">
        <v>9.25349080808656E-4</v>
      </c>
      <c r="T3" s="5">
        <v>2E+20</v>
      </c>
      <c r="U3" s="5">
        <v>0</v>
      </c>
      <c r="V3" s="5">
        <v>9.25349080808656E-4</v>
      </c>
      <c r="W3" s="5">
        <v>9.25349080808656E-4</v>
      </c>
      <c r="X3" s="5">
        <v>0</v>
      </c>
      <c r="Y3" s="5">
        <v>2</v>
      </c>
      <c r="AA3" t="s">
        <v>105</v>
      </c>
      <c r="AB3" t="s">
        <v>105</v>
      </c>
      <c r="AC3" t="s">
        <v>105</v>
      </c>
      <c r="AD3" t="s">
        <v>105</v>
      </c>
      <c r="AE3" s="5"/>
      <c r="AF3" s="5"/>
      <c r="AG3" s="5"/>
      <c r="AH3" s="5"/>
      <c r="AI3" s="5"/>
      <c r="AK3" t="s">
        <v>66</v>
      </c>
      <c r="AL3" t="s">
        <v>103</v>
      </c>
      <c r="AM3" t="s">
        <v>100</v>
      </c>
      <c r="AN3" t="s">
        <v>104</v>
      </c>
      <c r="AO3" s="5">
        <v>501</v>
      </c>
      <c r="AP3" s="5">
        <v>4E+20</v>
      </c>
      <c r="AQ3" s="5">
        <v>0</v>
      </c>
      <c r="AR3" s="5">
        <v>501</v>
      </c>
      <c r="AS3" s="5">
        <v>501</v>
      </c>
      <c r="AU3" t="s">
        <v>105</v>
      </c>
      <c r="AV3" t="s">
        <v>105</v>
      </c>
      <c r="AW3" t="s">
        <v>105</v>
      </c>
      <c r="AX3" t="s">
        <v>105</v>
      </c>
      <c r="AY3" s="4"/>
      <c r="AZ3" s="4"/>
    </row>
    <row r="4" spans="1:52" x14ac:dyDescent="0.3">
      <c r="B4" t="s">
        <v>72</v>
      </c>
      <c r="C4" t="s">
        <v>70</v>
      </c>
      <c r="D4" t="s">
        <v>71</v>
      </c>
      <c r="E4" s="5">
        <v>0</v>
      </c>
      <c r="F4" s="5">
        <v>1</v>
      </c>
      <c r="G4" s="5">
        <v>2E+20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308</v>
      </c>
      <c r="P4" t="s">
        <v>72</v>
      </c>
      <c r="Q4" t="s">
        <v>85</v>
      </c>
      <c r="R4" t="s">
        <v>71</v>
      </c>
      <c r="S4" s="5">
        <v>0</v>
      </c>
      <c r="T4" s="5">
        <v>2E+20</v>
      </c>
      <c r="U4" s="5">
        <v>0</v>
      </c>
      <c r="V4" s="5">
        <v>0</v>
      </c>
      <c r="W4" s="5">
        <v>0</v>
      </c>
      <c r="X4" s="5">
        <v>0</v>
      </c>
      <c r="Y4" s="5">
        <v>1</v>
      </c>
      <c r="AL4" t="s">
        <v>93</v>
      </c>
      <c r="AM4" t="s">
        <v>94</v>
      </c>
      <c r="AN4" t="s">
        <v>88</v>
      </c>
      <c r="AO4" s="5">
        <v>501</v>
      </c>
      <c r="AP4" s="5">
        <v>4E+20</v>
      </c>
      <c r="AQ4" s="5">
        <v>0</v>
      </c>
      <c r="AR4" s="5">
        <v>501</v>
      </c>
      <c r="AS4" s="5">
        <v>501</v>
      </c>
    </row>
    <row r="5" spans="1:52" x14ac:dyDescent="0.3">
      <c r="B5" t="s">
        <v>73</v>
      </c>
      <c r="C5" t="s">
        <v>70</v>
      </c>
      <c r="D5" t="s">
        <v>71</v>
      </c>
      <c r="E5" s="5">
        <v>0</v>
      </c>
      <c r="F5" s="5">
        <v>1</v>
      </c>
      <c r="G5" s="5">
        <v>2E+20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193</v>
      </c>
      <c r="P5" t="s">
        <v>73</v>
      </c>
      <c r="Q5" t="s">
        <v>85</v>
      </c>
      <c r="R5" t="s">
        <v>71</v>
      </c>
      <c r="S5" s="5">
        <v>0</v>
      </c>
      <c r="T5" s="5">
        <v>2E+20</v>
      </c>
      <c r="U5" s="5">
        <v>0</v>
      </c>
      <c r="V5" s="5">
        <v>0</v>
      </c>
      <c r="W5" s="5">
        <v>0</v>
      </c>
      <c r="X5" s="5">
        <v>0</v>
      </c>
      <c r="Y5" s="5">
        <v>1</v>
      </c>
      <c r="AL5" t="s">
        <v>95</v>
      </c>
      <c r="AM5" t="s">
        <v>96</v>
      </c>
      <c r="AN5" t="s">
        <v>88</v>
      </c>
      <c r="AO5" s="5">
        <v>0.74868654093925502</v>
      </c>
      <c r="AP5" s="5">
        <v>4E+20</v>
      </c>
      <c r="AQ5" s="5">
        <v>0</v>
      </c>
      <c r="AR5" s="5">
        <v>0.74868654093925502</v>
      </c>
      <c r="AS5" s="5">
        <v>0.74868654093925502</v>
      </c>
    </row>
    <row r="6" spans="1:52" x14ac:dyDescent="0.3">
      <c r="B6" t="s">
        <v>74</v>
      </c>
      <c r="C6" t="s">
        <v>70</v>
      </c>
      <c r="D6" t="s">
        <v>71</v>
      </c>
      <c r="E6" s="5">
        <v>0</v>
      </c>
      <c r="F6" s="5">
        <v>1</v>
      </c>
      <c r="G6" s="5">
        <v>2E+20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193</v>
      </c>
      <c r="P6" t="s">
        <v>74</v>
      </c>
      <c r="Q6" t="s">
        <v>85</v>
      </c>
      <c r="R6" t="s">
        <v>71</v>
      </c>
      <c r="S6" s="5">
        <v>0</v>
      </c>
      <c r="T6" s="5">
        <v>2E+20</v>
      </c>
      <c r="U6" s="5">
        <v>0</v>
      </c>
      <c r="V6" s="5">
        <v>0</v>
      </c>
      <c r="W6" s="5">
        <v>0</v>
      </c>
      <c r="X6" s="5">
        <v>0</v>
      </c>
      <c r="Y6" s="5">
        <v>1</v>
      </c>
      <c r="AL6" t="s">
        <v>97</v>
      </c>
      <c r="AM6" t="s">
        <v>98</v>
      </c>
      <c r="AN6" t="s">
        <v>77</v>
      </c>
      <c r="AO6" s="5">
        <v>501</v>
      </c>
      <c r="AP6" s="5">
        <v>4E+20</v>
      </c>
      <c r="AQ6" s="5">
        <v>0</v>
      </c>
      <c r="AR6" s="5">
        <v>501</v>
      </c>
      <c r="AS6" s="5">
        <v>501</v>
      </c>
    </row>
    <row r="7" spans="1:52" x14ac:dyDescent="0.3">
      <c r="B7" t="s">
        <v>75</v>
      </c>
      <c r="C7" t="s">
        <v>76</v>
      </c>
      <c r="D7" t="s">
        <v>77</v>
      </c>
      <c r="E7" s="5">
        <v>0</v>
      </c>
      <c r="F7" s="5">
        <v>1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501</v>
      </c>
      <c r="P7" t="s">
        <v>86</v>
      </c>
      <c r="Q7" t="s">
        <v>87</v>
      </c>
      <c r="R7" t="s">
        <v>88</v>
      </c>
      <c r="S7" s="5">
        <v>0.74868654093925502</v>
      </c>
      <c r="T7" s="5">
        <v>2E+20</v>
      </c>
      <c r="U7" s="5">
        <v>0</v>
      </c>
      <c r="V7" s="5">
        <v>0.74868654093925502</v>
      </c>
      <c r="W7" s="5">
        <v>0.74868654093925502</v>
      </c>
      <c r="X7" s="5">
        <v>0</v>
      </c>
      <c r="Y7" s="5">
        <v>1</v>
      </c>
      <c r="AL7" t="s">
        <v>99</v>
      </c>
      <c r="AM7" t="s">
        <v>100</v>
      </c>
      <c r="AN7" t="s">
        <v>77</v>
      </c>
      <c r="AO7" s="5">
        <v>501</v>
      </c>
      <c r="AP7" s="5">
        <v>4E+20</v>
      </c>
      <c r="AQ7" s="5">
        <v>0</v>
      </c>
      <c r="AR7" s="5">
        <v>501</v>
      </c>
      <c r="AS7" s="5">
        <v>501</v>
      </c>
    </row>
    <row r="8" spans="1:52" x14ac:dyDescent="0.3">
      <c r="C8" t="s">
        <v>78</v>
      </c>
      <c r="D8" t="s">
        <v>77</v>
      </c>
      <c r="E8" s="5">
        <v>0.39753825681977001</v>
      </c>
      <c r="F8" s="5">
        <v>1</v>
      </c>
      <c r="G8" s="5">
        <v>6.2123650097944301E-3</v>
      </c>
      <c r="H8" s="5">
        <v>0</v>
      </c>
      <c r="I8" s="5">
        <v>0.39753825681977001</v>
      </c>
      <c r="J8" s="5">
        <v>0.39753825681977001</v>
      </c>
      <c r="K8" s="5">
        <v>0.33333333333325799</v>
      </c>
      <c r="L8" s="5">
        <v>0.50000000000022704</v>
      </c>
      <c r="M8" s="5">
        <v>501</v>
      </c>
      <c r="Q8" t="s">
        <v>89</v>
      </c>
      <c r="R8" t="s">
        <v>88</v>
      </c>
      <c r="S8" s="5">
        <v>0.74868654093925502</v>
      </c>
      <c r="T8" s="5">
        <v>2E+20</v>
      </c>
      <c r="U8" s="5">
        <v>0</v>
      </c>
      <c r="V8" s="5">
        <v>0.74868654093925502</v>
      </c>
      <c r="W8" s="5">
        <v>0.74868654093925502</v>
      </c>
      <c r="X8" s="5">
        <v>0</v>
      </c>
      <c r="Y8" s="5">
        <v>1</v>
      </c>
      <c r="AL8" t="s">
        <v>101</v>
      </c>
      <c r="AM8" t="s">
        <v>94</v>
      </c>
      <c r="AN8" t="s">
        <v>88</v>
      </c>
      <c r="AO8" s="5">
        <v>193</v>
      </c>
      <c r="AP8" s="5">
        <v>4E+20</v>
      </c>
      <c r="AQ8" s="5">
        <v>0</v>
      </c>
      <c r="AR8" s="5">
        <v>193</v>
      </c>
      <c r="AS8" s="5">
        <v>193</v>
      </c>
    </row>
    <row r="9" spans="1:52" x14ac:dyDescent="0.3">
      <c r="C9" t="s">
        <v>79</v>
      </c>
      <c r="D9" t="s">
        <v>77</v>
      </c>
      <c r="E9" s="5">
        <v>9.5100393222064294</v>
      </c>
      <c r="F9" s="5">
        <v>1</v>
      </c>
      <c r="G9" s="5">
        <v>3E+20</v>
      </c>
      <c r="H9" s="5">
        <v>0</v>
      </c>
      <c r="I9" s="5">
        <v>9.5100393222064294</v>
      </c>
      <c r="J9" s="5">
        <v>9.5100393222064294</v>
      </c>
      <c r="K9" s="5">
        <v>2.9668303995147101</v>
      </c>
      <c r="L9" s="5">
        <v>29.972210820441401</v>
      </c>
      <c r="M9" s="5">
        <v>501</v>
      </c>
      <c r="Q9" t="s">
        <v>90</v>
      </c>
      <c r="R9" t="s">
        <v>88</v>
      </c>
      <c r="S9" s="5">
        <v>1</v>
      </c>
      <c r="T9" s="5">
        <v>2E+20</v>
      </c>
      <c r="U9" s="5">
        <v>0</v>
      </c>
      <c r="V9" s="5">
        <v>1</v>
      </c>
      <c r="W9" s="5">
        <v>1</v>
      </c>
      <c r="X9" s="5">
        <v>1</v>
      </c>
      <c r="Y9" s="5">
        <v>1</v>
      </c>
      <c r="AL9" t="s">
        <v>102</v>
      </c>
      <c r="AM9" t="s">
        <v>96</v>
      </c>
      <c r="AN9" t="s">
        <v>88</v>
      </c>
      <c r="AO9" s="5">
        <v>0.190621809248994</v>
      </c>
      <c r="AP9" s="5">
        <v>4E+20</v>
      </c>
      <c r="AQ9" s="5">
        <v>0</v>
      </c>
      <c r="AR9" s="5">
        <v>0.190621809248994</v>
      </c>
      <c r="AS9" s="5">
        <v>0.190621809248994</v>
      </c>
    </row>
    <row r="10" spans="1:52" x14ac:dyDescent="0.3">
      <c r="C10" t="s">
        <v>80</v>
      </c>
      <c r="D10" t="s">
        <v>77</v>
      </c>
      <c r="E10" s="5">
        <v>0.36543579507656498</v>
      </c>
      <c r="F10" s="5">
        <v>1</v>
      </c>
      <c r="G10" s="5">
        <v>3.10618250489493E-3</v>
      </c>
      <c r="H10" s="5">
        <v>0</v>
      </c>
      <c r="I10" s="5">
        <v>0.36543579507656498</v>
      </c>
      <c r="J10" s="5">
        <v>0.36543579507656498</v>
      </c>
      <c r="K10" s="5">
        <v>0.33333333333314402</v>
      </c>
      <c r="L10" s="5">
        <v>0.41666666666674201</v>
      </c>
      <c r="M10" s="5">
        <v>501</v>
      </c>
      <c r="P10" t="s">
        <v>75</v>
      </c>
      <c r="Q10" t="s">
        <v>91</v>
      </c>
      <c r="R10" t="s">
        <v>77</v>
      </c>
      <c r="S10" s="5">
        <v>2.3822648502127102</v>
      </c>
      <c r="T10" s="5">
        <v>0.55690931953633904</v>
      </c>
      <c r="U10" s="5">
        <v>0</v>
      </c>
      <c r="V10" s="5">
        <v>2.3822648502127102</v>
      </c>
      <c r="W10" s="5">
        <v>2.3822648502127102</v>
      </c>
      <c r="X10" s="5">
        <v>0</v>
      </c>
      <c r="Y10" s="5">
        <v>10</v>
      </c>
    </row>
    <row r="11" spans="1:52" x14ac:dyDescent="0.3">
      <c r="C11" t="s">
        <v>81</v>
      </c>
      <c r="D11" t="s">
        <v>77</v>
      </c>
      <c r="E11" s="5">
        <v>3.7497339328872199</v>
      </c>
      <c r="F11" s="5">
        <v>1</v>
      </c>
      <c r="G11" s="5">
        <v>8.3918150020658805E-2</v>
      </c>
      <c r="H11" s="5">
        <v>0</v>
      </c>
      <c r="I11" s="5">
        <v>3.7497339328872199</v>
      </c>
      <c r="J11" s="5">
        <v>3.7497339328872199</v>
      </c>
      <c r="K11" s="5">
        <v>2.0532283924059702</v>
      </c>
      <c r="L11" s="5">
        <v>6.3088991754668804</v>
      </c>
      <c r="M11" s="5">
        <v>501</v>
      </c>
      <c r="P11" t="s">
        <v>83</v>
      </c>
      <c r="Q11" t="s">
        <v>85</v>
      </c>
      <c r="R11" t="s">
        <v>71</v>
      </c>
      <c r="S11" s="5">
        <v>1.1915846562052299</v>
      </c>
      <c r="T11" s="5">
        <v>0.48201565561470999</v>
      </c>
      <c r="U11" s="5">
        <v>0</v>
      </c>
      <c r="V11" s="5">
        <v>1.1915846562052299</v>
      </c>
      <c r="W11" s="5">
        <v>1.1915846562052299</v>
      </c>
      <c r="X11" s="5">
        <v>0</v>
      </c>
      <c r="Y11" s="5">
        <v>9</v>
      </c>
    </row>
    <row r="12" spans="1:52" x14ac:dyDescent="0.3">
      <c r="C12" t="s">
        <v>82</v>
      </c>
      <c r="D12" t="s">
        <v>77</v>
      </c>
      <c r="E12" s="5">
        <v>4.9973313374228798</v>
      </c>
      <c r="F12" s="5">
        <v>1</v>
      </c>
      <c r="G12" s="5">
        <v>3E+20</v>
      </c>
      <c r="H12" s="5">
        <v>0</v>
      </c>
      <c r="I12" s="5">
        <v>4.9973313374228798</v>
      </c>
      <c r="J12" s="5">
        <v>4.9973313374228798</v>
      </c>
      <c r="K12" s="5">
        <v>0.21666666666658299</v>
      </c>
      <c r="L12" s="5">
        <v>25.247594069491701</v>
      </c>
      <c r="M12" s="5">
        <v>501</v>
      </c>
      <c r="P12" t="s">
        <v>84</v>
      </c>
      <c r="Q12" t="s">
        <v>85</v>
      </c>
      <c r="R12" t="s">
        <v>71</v>
      </c>
      <c r="S12" s="5">
        <v>2.2149473839101601E-4</v>
      </c>
      <c r="T12" s="5">
        <v>2E+20</v>
      </c>
      <c r="U12" s="5">
        <v>0</v>
      </c>
      <c r="V12" s="5">
        <v>2.2149473839101601E-4</v>
      </c>
      <c r="W12" s="5">
        <v>2.2149473839101601E-4</v>
      </c>
      <c r="X12" s="5">
        <v>0</v>
      </c>
      <c r="Y12" s="5">
        <v>1</v>
      </c>
    </row>
    <row r="13" spans="1:52" x14ac:dyDescent="0.3">
      <c r="B13" t="s">
        <v>83</v>
      </c>
      <c r="C13" t="s">
        <v>70</v>
      </c>
      <c r="D13" t="s">
        <v>71</v>
      </c>
      <c r="E13" s="5">
        <v>4.7568249748711997</v>
      </c>
      <c r="F13" s="5">
        <v>1</v>
      </c>
      <c r="G13" s="5">
        <v>3E+20</v>
      </c>
      <c r="H13" s="5">
        <v>0</v>
      </c>
      <c r="I13" s="5">
        <v>4.7568249748711997</v>
      </c>
      <c r="J13" s="5">
        <v>4.7568249748711997</v>
      </c>
      <c r="K13" s="5">
        <v>0</v>
      </c>
      <c r="L13" s="5">
        <v>24.980927402824999</v>
      </c>
      <c r="M13" s="5">
        <v>501</v>
      </c>
      <c r="P13" t="s">
        <v>92</v>
      </c>
      <c r="Q13" t="s">
        <v>87</v>
      </c>
      <c r="R13" t="s">
        <v>88</v>
      </c>
      <c r="S13" s="5">
        <v>0.190621809248994</v>
      </c>
      <c r="T13" s="5">
        <v>2.7653082294344301E-2</v>
      </c>
      <c r="U13" s="5">
        <v>0</v>
      </c>
      <c r="V13" s="5">
        <v>0.190621809248994</v>
      </c>
      <c r="W13" s="5">
        <v>0.190621809248994</v>
      </c>
      <c r="X13" s="5">
        <v>0</v>
      </c>
      <c r="Y13" s="5">
        <v>1</v>
      </c>
    </row>
    <row r="14" spans="1:52" x14ac:dyDescent="0.3">
      <c r="B14" t="s">
        <v>84</v>
      </c>
      <c r="C14" t="s">
        <v>70</v>
      </c>
      <c r="D14" t="s">
        <v>71</v>
      </c>
      <c r="E14" s="5">
        <v>2.2952822631193302E-3</v>
      </c>
      <c r="F14" s="5">
        <v>1</v>
      </c>
      <c r="G14" s="5">
        <v>2E+20</v>
      </c>
      <c r="H14" s="5">
        <v>0</v>
      </c>
      <c r="I14" s="5">
        <v>2.2952822631193302E-3</v>
      </c>
      <c r="J14" s="5">
        <v>2.2952822631193302E-3</v>
      </c>
      <c r="K14" s="5">
        <v>0</v>
      </c>
      <c r="L14" s="5">
        <v>0.25188853670351802</v>
      </c>
      <c r="M14" s="5">
        <v>193</v>
      </c>
      <c r="Q14" t="s">
        <v>89</v>
      </c>
      <c r="R14" t="s">
        <v>88</v>
      </c>
      <c r="S14" s="5">
        <v>0.190621809248994</v>
      </c>
      <c r="T14" s="5">
        <v>2.7653082294344301E-2</v>
      </c>
      <c r="U14" s="5">
        <v>0</v>
      </c>
      <c r="V14" s="5">
        <v>0.190621809248994</v>
      </c>
      <c r="W14" s="5">
        <v>0.190621809248994</v>
      </c>
      <c r="X14" s="5">
        <v>0</v>
      </c>
      <c r="Y14" s="5">
        <v>1</v>
      </c>
    </row>
    <row r="15" spans="1:52" x14ac:dyDescent="0.3">
      <c r="Q15" t="s">
        <v>90</v>
      </c>
      <c r="R15" t="s">
        <v>88</v>
      </c>
      <c r="S15" s="5">
        <v>1</v>
      </c>
      <c r="T15" s="5">
        <v>2E+20</v>
      </c>
      <c r="U15" s="5">
        <v>0</v>
      </c>
      <c r="V15" s="5">
        <v>1</v>
      </c>
      <c r="W15" s="5">
        <v>1</v>
      </c>
      <c r="X15" s="5">
        <v>1</v>
      </c>
      <c r="Y15" s="5">
        <v>1</v>
      </c>
    </row>
  </sheetData>
  <dataConsolidate/>
  <conditionalFormatting pivot="1" sqref="G3:G14">
    <cfRule type="expression" dxfId="29" priority="10">
      <formula>G3=200000000000000000000</formula>
    </cfRule>
  </conditionalFormatting>
  <conditionalFormatting pivot="1" sqref="T3:T15">
    <cfRule type="expression" dxfId="28" priority="9">
      <formula>T3=200000000000000000000</formula>
    </cfRule>
  </conditionalFormatting>
  <conditionalFormatting pivot="1" sqref="T3:T15">
    <cfRule type="expression" dxfId="27" priority="8">
      <formula>T3=300000000000000000000</formula>
    </cfRule>
  </conditionalFormatting>
  <conditionalFormatting pivot="1" sqref="G3:G14">
    <cfRule type="expression" dxfId="26" priority="7">
      <formula>G3=300000000000000000000</formula>
    </cfRule>
  </conditionalFormatting>
  <conditionalFormatting pivot="1" sqref="F3:F14">
    <cfRule type="expression" dxfId="25" priority="6">
      <formula>F3=0</formula>
    </cfRule>
  </conditionalFormatting>
  <conditionalFormatting pivot="1" sqref="F3:F14">
    <cfRule type="expression" dxfId="24" priority="5">
      <formula>F3=1</formula>
    </cfRule>
  </conditionalFormatting>
  <conditionalFormatting pivot="1" sqref="T3:T15">
    <cfRule type="expression" dxfId="23" priority="4">
      <formula>T3=400000000000000000000</formula>
    </cfRule>
  </conditionalFormatting>
  <conditionalFormatting pivot="1" sqref="AP3:AP9">
    <cfRule type="expression" dxfId="22" priority="3">
      <formula>AP3=400000000000000000000</formula>
    </cfRule>
  </conditionalFormatting>
  <conditionalFormatting pivot="1" sqref="AF3">
    <cfRule type="expression" dxfId="21" priority="2">
      <formula>AF3=400000000000000000000</formula>
    </cfRule>
  </conditionalFormatting>
  <conditionalFormatting pivot="1" sqref="G3:G14">
    <cfRule type="expression" dxfId="20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3"/>
  <sheetViews>
    <sheetView workbookViewId="0">
      <selection activeCell="K2" sqref="K2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23.6640625" bestFit="1" customWidth="1"/>
    <col min="5" max="5" width="12.21875" bestFit="1" customWidth="1"/>
    <col min="6" max="6" width="9" bestFit="1" customWidth="1"/>
    <col min="7" max="7" width="12" bestFit="1" customWidth="1"/>
    <col min="8" max="8" width="22.33203125" bestFit="1" customWidth="1"/>
    <col min="9" max="10" width="12" bestFit="1" customWidth="1"/>
    <col min="11" max="11" width="21.33203125" bestFit="1" customWidth="1"/>
    <col min="12" max="12" width="54.6640625" bestFit="1" customWidth="1"/>
    <col min="13" max="13" width="16.21875" bestFit="1" customWidth="1"/>
    <col min="14" max="14" width="19.109375" customWidth="1"/>
    <col min="15" max="15" width="17.109375" bestFit="1" customWidth="1"/>
    <col min="16" max="16" width="19.44140625" bestFit="1" customWidth="1"/>
    <col min="17" max="17" width="11.6640625" bestFit="1" customWidth="1"/>
    <col min="18" max="18" width="18.44140625" bestFit="1" customWidth="1"/>
    <col min="19" max="19" width="18.77734375" customWidth="1"/>
    <col min="20" max="20" width="17.44140625" customWidth="1"/>
    <col min="21" max="21" width="17.77734375" customWidth="1"/>
    <col min="22" max="22" width="28.44140625" bestFit="1" customWidth="1"/>
    <col min="23" max="23" width="20" bestFit="1" customWidth="1"/>
    <col min="24" max="24" width="22.77734375" bestFit="1" customWidth="1"/>
    <col min="25" max="25" width="21.332031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68</v>
      </c>
      <c r="C2">
        <v>1</v>
      </c>
      <c r="D2" t="s">
        <v>69</v>
      </c>
      <c r="E2" t="s">
        <v>70</v>
      </c>
      <c r="F2" t="s">
        <v>71</v>
      </c>
      <c r="G2">
        <v>3.6940083066213801E-3</v>
      </c>
      <c r="H2">
        <v>2.4702484583828499E-3</v>
      </c>
      <c r="I2">
        <v>0</v>
      </c>
      <c r="J2">
        <v>0.27741195832447801</v>
      </c>
      <c r="K2">
        <v>501</v>
      </c>
      <c r="L2" t="str">
        <f>DiscreteStatsTable[[#This Row],[ProjectName]]&amp;DiscreteStatsTable[[#This Row],[Name]]&amp;DiscreteStatsTable[[#This Row],[Type]]&amp;DiscreteStatsTable[[#This Row],[Source]]</f>
        <v>Unnamed ProjectAccess 1.QueueWaiting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3.6940083066213801E-3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3.6940083066213801E-3</v>
      </c>
      <c r="S2" cm="1">
        <f t="array" ref="S2">MAX(IF((DiscreteStatsTable[GroupByKey]=DiscreteStatsTable[[#This Row],[GroupByKey]]),(DiscreteStatsTable[GroupByKey]=DiscreteStatsTable[[#This Row],[GroupByKey]])*DiscreteStatsTable[Average]))</f>
        <v>3.6940083066213801E-3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0.27741195832447801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501</v>
      </c>
      <c r="W2">
        <f>IF((DiscreteStatsTable[[#This Row],[RepsRequested]]&gt;1),DiscreteStatsTable[[#This Row],[HalfWidth]],DiscreteStatsTable[[#This Row],[BatchMeansHalfWidth]])</f>
        <v>2.4702484583828499E-3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68</v>
      </c>
      <c r="C3">
        <v>1</v>
      </c>
      <c r="D3" t="s">
        <v>72</v>
      </c>
      <c r="E3" t="s">
        <v>70</v>
      </c>
      <c r="F3" t="s">
        <v>71</v>
      </c>
      <c r="G3">
        <v>0</v>
      </c>
      <c r="H3">
        <v>2E+20</v>
      </c>
      <c r="I3">
        <v>0</v>
      </c>
      <c r="J3">
        <v>0</v>
      </c>
      <c r="K3">
        <v>308</v>
      </c>
      <c r="L3" t="str">
        <f>DiscreteStatsTable[[#This Row],[ProjectName]]&amp;DiscreteStatsTable[[#This Row],[Name]]&amp;DiscreteStatsTable[[#This Row],[Type]]&amp;DiscreteStatsTable[[#This Row],[Source]]</f>
        <v>Unnamed ProjectAccess 2.QueueWaiting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308</v>
      </c>
      <c r="W3">
        <f>IF((DiscreteStatsTable[[#This Row],[RepsRequested]]&gt;1),DiscreteStatsTable[[#This Row],[HalfWidth]],DiscreteStatsTable[[#This Row],[BatchMeansHalfWidth]])</f>
        <v>2E+20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68</v>
      </c>
      <c r="C4">
        <v>1</v>
      </c>
      <c r="D4" t="s">
        <v>73</v>
      </c>
      <c r="E4" t="s">
        <v>70</v>
      </c>
      <c r="F4" t="s">
        <v>71</v>
      </c>
      <c r="G4">
        <v>0</v>
      </c>
      <c r="H4">
        <v>2E+20</v>
      </c>
      <c r="I4">
        <v>0</v>
      </c>
      <c r="J4">
        <v>0</v>
      </c>
      <c r="K4">
        <v>193</v>
      </c>
      <c r="L4" t="str">
        <f>DiscreteStatsTable[[#This Row],[ProjectName]]&amp;DiscreteStatsTable[[#This Row],[Name]]&amp;DiscreteStatsTable[[#This Row],[Type]]&amp;DiscreteStatsTable[[#This Row],[Source]]</f>
        <v>Unnamed ProjectAccess 3.QueueWaiting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0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193</v>
      </c>
      <c r="W4">
        <f>IF((DiscreteStatsTable[[#This Row],[RepsRequested]]&gt;1),DiscreteStatsTable[[#This Row],[HalfWidth]],DiscreteStatsTable[[#This Row],[BatchMeansHalfWidth]])</f>
        <v>2E+20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68</v>
      </c>
      <c r="C5">
        <v>1</v>
      </c>
      <c r="D5" t="s">
        <v>74</v>
      </c>
      <c r="E5" t="s">
        <v>70</v>
      </c>
      <c r="F5" t="s">
        <v>71</v>
      </c>
      <c r="G5">
        <v>0</v>
      </c>
      <c r="H5">
        <v>2E+20</v>
      </c>
      <c r="I5">
        <v>0</v>
      </c>
      <c r="J5">
        <v>0</v>
      </c>
      <c r="K5">
        <v>193</v>
      </c>
      <c r="L5" t="str">
        <f>DiscreteStatsTable[[#This Row],[ProjectName]]&amp;DiscreteStatsTable[[#This Row],[Name]]&amp;DiscreteStatsTable[[#This Row],[Type]]&amp;DiscreteStatsTable[[#This Row],[Source]]</f>
        <v>Unnamed ProjectAccess 4.QueueWaiting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193</v>
      </c>
      <c r="W5">
        <f>IF((DiscreteStatsTable[[#This Row],[RepsRequested]]&gt;1),DiscreteStatsTable[[#This Row],[HalfWidth]],DiscreteStatsTable[[#This Row],[BatchMeansHalfWidth]])</f>
        <v>2E+20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68</v>
      </c>
      <c r="C6">
        <v>1</v>
      </c>
      <c r="D6" t="s">
        <v>75</v>
      </c>
      <c r="E6" t="s">
        <v>76</v>
      </c>
      <c r="F6" t="s">
        <v>77</v>
      </c>
      <c r="G6">
        <v>0</v>
      </c>
      <c r="H6">
        <v>0</v>
      </c>
      <c r="I6">
        <v>0</v>
      </c>
      <c r="J6">
        <v>0</v>
      </c>
      <c r="K6">
        <v>501</v>
      </c>
      <c r="L6" t="str">
        <f>DiscreteStatsTable[[#This Row],[ProjectName]]&amp;DiscreteStatsTable[[#This Row],[Name]]&amp;DiscreteStatsTable[[#This Row],[Type]]&amp;DiscreteStatsTable[[#This Row],[Source]]</f>
        <v>Unnamed ProjectPECASNVA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501</v>
      </c>
      <c r="W6">
        <f>IF((DiscreteStatsTable[[#This Row],[RepsRequested]]&gt;1),DiscreteStatsTable[[#This Row],[HalfWidth]],DiscreteStatsTable[[#This Row],[BatchMeansHalfWidth]])</f>
        <v>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68</v>
      </c>
      <c r="C7">
        <v>1</v>
      </c>
      <c r="D7" t="s">
        <v>75</v>
      </c>
      <c r="E7" t="s">
        <v>78</v>
      </c>
      <c r="F7" t="s">
        <v>77</v>
      </c>
      <c r="G7">
        <v>0.39753825681977001</v>
      </c>
      <c r="H7">
        <v>6.2123650097944301E-3</v>
      </c>
      <c r="I7">
        <v>0.33333333333325799</v>
      </c>
      <c r="J7">
        <v>0.50000000000022704</v>
      </c>
      <c r="K7">
        <v>501</v>
      </c>
      <c r="L7" t="str">
        <f>DiscreteStatsTable[[#This Row],[ProjectName]]&amp;DiscreteStatsTable[[#This Row],[Name]]&amp;DiscreteStatsTable[[#This Row],[Type]]&amp;DiscreteStatsTable[[#This Row],[Source]]</f>
        <v>Unnamed ProjectPECASOther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0.39753825681977001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0.39753825681977001</v>
      </c>
      <c r="S7" cm="1">
        <f t="array" ref="S7">MAX(IF((DiscreteStatsTable[GroupByKey]=DiscreteStatsTable[[#This Row],[GroupByKey]]),(DiscreteStatsTable[GroupByKey]=DiscreteStatsTable[[#This Row],[GroupByKey]])*DiscreteStatsTable[Average]))</f>
        <v>0.39753825681977001</v>
      </c>
      <c r="T7" cm="1">
        <f t="array" ref="T7">MIN(IF((DiscreteStatsTable[GroupByKey]=DiscreteStatsTable[[#This Row],[GroupByKey]]),(DiscreteStatsTable[GroupByKey]=DiscreteStatsTable[[#This Row],[GroupByKey]])*DiscreteStatsTable[Minimum]))</f>
        <v>0.33333333333325799</v>
      </c>
      <c r="U7" cm="1">
        <f t="array" ref="U7">MAX(IF((DiscreteStatsTable[GroupByKey]=DiscreteStatsTable[[#This Row],[GroupByKey]]),(DiscreteStatsTable[GroupByKey]=DiscreteStatsTable[[#This Row],[GroupByKey]])*DiscreteStatsTable[Maximum]))</f>
        <v>0.50000000000022704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501</v>
      </c>
      <c r="W7">
        <f>IF((DiscreteStatsTable[[#This Row],[RepsRequested]]&gt;1),DiscreteStatsTable[[#This Row],[HalfWidth]],DiscreteStatsTable[[#This Row],[BatchMeansHalfWidth]])</f>
        <v>6.2123650097944301E-3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68</v>
      </c>
      <c r="C8">
        <v>1</v>
      </c>
      <c r="D8" t="s">
        <v>75</v>
      </c>
      <c r="E8" t="s">
        <v>79</v>
      </c>
      <c r="F8" t="s">
        <v>77</v>
      </c>
      <c r="G8">
        <v>9.5100393222064294</v>
      </c>
      <c r="H8">
        <v>3E+20</v>
      </c>
      <c r="I8">
        <v>2.9668303995147101</v>
      </c>
      <c r="J8">
        <v>29.972210820441401</v>
      </c>
      <c r="K8">
        <v>501</v>
      </c>
      <c r="L8" t="str">
        <f>DiscreteStatsTable[[#This Row],[ProjectName]]&amp;DiscreteStatsTable[[#This Row],[Name]]&amp;DiscreteStatsTable[[#This Row],[Type]]&amp;DiscreteStatsTable[[#This Row],[Source]]</f>
        <v>Unnamed ProjectPECASTotal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9.5100393222064294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9.5100393222064294</v>
      </c>
      <c r="S8" cm="1">
        <f t="array" ref="S8">MAX(IF((DiscreteStatsTable[GroupByKey]=DiscreteStatsTable[[#This Row],[GroupByKey]]),(DiscreteStatsTable[GroupByKey]=DiscreteStatsTable[[#This Row],[GroupByKey]])*DiscreteStatsTable[Average]))</f>
        <v>9.5100393222064294</v>
      </c>
      <c r="T8" cm="1">
        <f t="array" ref="T8">MIN(IF((DiscreteStatsTable[GroupByKey]=DiscreteStatsTable[[#This Row],[GroupByKey]]),(DiscreteStatsTable[GroupByKey]=DiscreteStatsTable[[#This Row],[GroupByKey]])*DiscreteStatsTable[Minimum]))</f>
        <v>2.9668303995147101</v>
      </c>
      <c r="U8" cm="1">
        <f t="array" ref="U8">MAX(IF((DiscreteStatsTable[GroupByKey]=DiscreteStatsTable[[#This Row],[GroupByKey]]),(DiscreteStatsTable[GroupByKey]=DiscreteStatsTable[[#This Row],[GroupByKey]])*DiscreteStatsTable[Maximum]))</f>
        <v>29.972210820441401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501</v>
      </c>
      <c r="W8">
        <f>IF((DiscreteStatsTable[[#This Row],[RepsRequested]]&gt;1),DiscreteStatsTable[[#This Row],[HalfWidth]],DiscreteStatsTable[[#This Row],[BatchMeansHalfWidth]])</f>
        <v>3E+20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68</v>
      </c>
      <c r="C9">
        <v>1</v>
      </c>
      <c r="D9" t="s">
        <v>75</v>
      </c>
      <c r="E9" t="s">
        <v>80</v>
      </c>
      <c r="F9" t="s">
        <v>77</v>
      </c>
      <c r="G9">
        <v>0.36543579507656498</v>
      </c>
      <c r="H9">
        <v>3.10618250489493E-3</v>
      </c>
      <c r="I9">
        <v>0.33333333333314402</v>
      </c>
      <c r="J9">
        <v>0.41666666666674201</v>
      </c>
      <c r="K9">
        <v>501</v>
      </c>
      <c r="L9" t="str">
        <f>DiscreteStatsTable[[#This Row],[ProjectName]]&amp;DiscreteStatsTable[[#This Row],[Name]]&amp;DiscreteStatsTable[[#This Row],[Type]]&amp;DiscreteStatsTable[[#This Row],[Source]]</f>
        <v>Unnamed ProjectPECASTransfer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0.36543579507656498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0.36543579507656498</v>
      </c>
      <c r="S9" cm="1">
        <f t="array" ref="S9">MAX(IF((DiscreteStatsTable[GroupByKey]=DiscreteStatsTable[[#This Row],[GroupByKey]]),(DiscreteStatsTable[GroupByKey]=DiscreteStatsTable[[#This Row],[GroupByKey]])*DiscreteStatsTable[Average]))</f>
        <v>0.36543579507656498</v>
      </c>
      <c r="T9" cm="1">
        <f t="array" ref="T9">MIN(IF((DiscreteStatsTable[GroupByKey]=DiscreteStatsTable[[#This Row],[GroupByKey]]),(DiscreteStatsTable[GroupByKey]=DiscreteStatsTable[[#This Row],[GroupByKey]])*DiscreteStatsTable[Minimum]))</f>
        <v>0.33333333333314402</v>
      </c>
      <c r="U9" cm="1">
        <f t="array" ref="U9">MAX(IF((DiscreteStatsTable[GroupByKey]=DiscreteStatsTable[[#This Row],[GroupByKey]]),(DiscreteStatsTable[GroupByKey]=DiscreteStatsTable[[#This Row],[GroupByKey]])*DiscreteStatsTable[Maximum]))</f>
        <v>0.41666666666674201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501</v>
      </c>
      <c r="W9">
        <f>IF((DiscreteStatsTable[[#This Row],[RepsRequested]]&gt;1),DiscreteStatsTable[[#This Row],[HalfWidth]],DiscreteStatsTable[[#This Row],[BatchMeansHalfWidth]])</f>
        <v>3.10618250489493E-3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68</v>
      </c>
      <c r="C10">
        <v>1</v>
      </c>
      <c r="D10" t="s">
        <v>75</v>
      </c>
      <c r="E10" t="s">
        <v>81</v>
      </c>
      <c r="F10" t="s">
        <v>77</v>
      </c>
      <c r="G10">
        <v>3.7497339328872199</v>
      </c>
      <c r="H10">
        <v>8.3918150020658805E-2</v>
      </c>
      <c r="I10">
        <v>2.0532283924059702</v>
      </c>
      <c r="J10">
        <v>6.3088991754668804</v>
      </c>
      <c r="K10">
        <v>501</v>
      </c>
      <c r="L10" t="str">
        <f>DiscreteStatsTable[[#This Row],[ProjectName]]&amp;DiscreteStatsTable[[#This Row],[Name]]&amp;DiscreteStatsTable[[#This Row],[Type]]&amp;DiscreteStatsTable[[#This Row],[Source]]</f>
        <v>Unnamed ProjectPECASVA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3.7497339328872199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3.7497339328872199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3.7497339328872199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2.0532283924059702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6.3088991754668804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501</v>
      </c>
      <c r="W10">
        <f>IF((DiscreteStatsTable[[#This Row],[RepsRequested]]&gt;1),DiscreteStatsTable[[#This Row],[HalfWidth]],DiscreteStatsTable[[#This Row],[BatchMeansHalfWidth]])</f>
        <v>8.3918150020658805E-2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68</v>
      </c>
      <c r="C11">
        <v>1</v>
      </c>
      <c r="D11" t="s">
        <v>75</v>
      </c>
      <c r="E11" t="s">
        <v>82</v>
      </c>
      <c r="F11" t="s">
        <v>77</v>
      </c>
      <c r="G11">
        <v>4.9973313374228798</v>
      </c>
      <c r="H11">
        <v>3E+20</v>
      </c>
      <c r="I11">
        <v>0.21666666666658299</v>
      </c>
      <c r="J11">
        <v>25.247594069491701</v>
      </c>
      <c r="K11">
        <v>501</v>
      </c>
      <c r="L11" t="str">
        <f>DiscreteStatsTable[[#This Row],[ProjectName]]&amp;DiscreteStatsTable[[#This Row],[Name]]&amp;DiscreteStatsTable[[#This Row],[Type]]&amp;DiscreteStatsTable[[#This Row],[Source]]</f>
        <v>Unnamed ProjectPECASWait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4.9973313374228798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4.9973313374228798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4.9973313374228798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0.21666666666658299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25.247594069491701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501</v>
      </c>
      <c r="W11">
        <f>IF((DiscreteStatsTable[[#This Row],[RepsRequested]]&gt;1),DiscreteStatsTable[[#This Row],[HalfWidth]],DiscreteStatsTable[[#This Row],[BatchMeansHalfWidth]])</f>
        <v>3E+20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68</v>
      </c>
      <c r="C12">
        <v>1</v>
      </c>
      <c r="D12" t="s">
        <v>83</v>
      </c>
      <c r="E12" t="s">
        <v>70</v>
      </c>
      <c r="F12" t="s">
        <v>71</v>
      </c>
      <c r="G12">
        <v>4.7568249748711997</v>
      </c>
      <c r="H12">
        <v>3E+20</v>
      </c>
      <c r="I12">
        <v>0</v>
      </c>
      <c r="J12">
        <v>24.980927402824999</v>
      </c>
      <c r="K12">
        <v>501</v>
      </c>
      <c r="L12" t="str">
        <f>DiscreteStatsTable[[#This Row],[ProjectName]]&amp;DiscreteStatsTable[[#This Row],[Name]]&amp;DiscreteStatsTable[[#This Row],[Type]]&amp;DiscreteStatsTable[[#This Row],[Source]]</f>
        <v>Unnamed ProjectProcesso Maquina A.QueueWaiting TimeQueue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4.7568249748711997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4.7568249748711997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4.7568249748711997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24.980927402824999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501</v>
      </c>
      <c r="W12">
        <f>IF((DiscreteStatsTable[[#This Row],[RepsRequested]]&gt;1),DiscreteStatsTable[[#This Row],[HalfWidth]],DiscreteStatsTable[[#This Row],[BatchMeansHalfWidth]])</f>
        <v>3E+20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68</v>
      </c>
      <c r="C13">
        <v>1</v>
      </c>
      <c r="D13" t="s">
        <v>84</v>
      </c>
      <c r="E13" t="s">
        <v>70</v>
      </c>
      <c r="F13" t="s">
        <v>71</v>
      </c>
      <c r="G13">
        <v>2.2952822631193302E-3</v>
      </c>
      <c r="H13">
        <v>2E+20</v>
      </c>
      <c r="I13">
        <v>0</v>
      </c>
      <c r="J13">
        <v>0.25188853670351802</v>
      </c>
      <c r="K13">
        <v>193</v>
      </c>
      <c r="L13" t="str">
        <f>DiscreteStatsTable[[#This Row],[ProjectName]]&amp;DiscreteStatsTable[[#This Row],[Name]]&amp;DiscreteStatsTable[[#This Row],[Type]]&amp;DiscreteStatsTable[[#This Row],[Source]]</f>
        <v>Unnamed ProjectProcesso Reparo.QueueWaiting TimeQueue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2.2952822631193302E-3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2.2952822631193302E-3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2.2952822631193302E-3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0.25188853670351802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193</v>
      </c>
      <c r="W13">
        <f>IF((DiscreteStatsTable[[#This Row],[RepsRequested]]&gt;1),DiscreteStatsTable[[#This Row],[HalfWidth]],DiscreteStatsTable[[#This Row],[BatchMeansHalfWidth]])</f>
        <v>2E+20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</v>
      </c>
      <c r="Y13">
        <f>IF(DiscreteStatsTable[[#This Row],[RepsRequested]]=DiscreteStatsTable[[#This Row],[RepsWithStatObserved]],1,0)</f>
        <v>1</v>
      </c>
    </row>
  </sheetData>
  <phoneticPr fontId="2" type="noConversion"/>
  <conditionalFormatting sqref="H2:H13 Q2:Q13">
    <cfRule type="expression" dxfId="19" priority="23">
      <formula>H2=200000000000000000000</formula>
    </cfRule>
  </conditionalFormatting>
  <conditionalFormatting sqref="H2:H13">
    <cfRule type="expression" dxfId="18" priority="21">
      <formula>H2=300000000000000000000</formula>
    </cfRule>
  </conditionalFormatting>
  <conditionalFormatting sqref="L2:Y13">
    <cfRule type="expression" dxfId="17" priority="19">
      <formula>MOD(ROW(),2)=0</formula>
    </cfRule>
  </conditionalFormatting>
  <conditionalFormatting sqref="Y2:Y13">
    <cfRule type="expression" dxfId="16" priority="14">
      <formula>Y2=0</formula>
    </cfRule>
    <cfRule type="expression" dxfId="15" priority="16">
      <formula>Y2=1</formula>
    </cfRule>
  </conditionalFormatting>
  <conditionalFormatting sqref="Y3:Y13">
    <cfRule type="expression" dxfId="14" priority="15">
      <formula>Y3=1</formula>
    </cfRule>
  </conditionalFormatting>
  <conditionalFormatting sqref="W2:W13">
    <cfRule type="expression" dxfId="13" priority="6">
      <formula>W2=300000000000000000000</formula>
    </cfRule>
    <cfRule type="expression" dxfId="12" priority="7">
      <formula>W2=200000000000000000000</formula>
    </cfRule>
  </conditionalFormatting>
  <conditionalFormatting sqref="Q2:Q13 W2:W13">
    <cfRule type="expression" dxfId="11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4"/>
  <sheetViews>
    <sheetView workbookViewId="0">
      <selection activeCell="D2" sqref="D2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23.6640625" bestFit="1" customWidth="1"/>
    <col min="5" max="5" width="21.6640625" bestFit="1" customWidth="1"/>
    <col min="6" max="6" width="9" bestFit="1" customWidth="1"/>
    <col min="7" max="7" width="12" bestFit="1" customWidth="1"/>
    <col min="8" max="8" width="22.33203125" bestFit="1" customWidth="1"/>
    <col min="9" max="9" width="11.44140625" bestFit="1" customWidth="1"/>
    <col min="10" max="10" width="11.77734375" bestFit="1" customWidth="1"/>
    <col min="11" max="11" width="19.5546875" bestFit="1" customWidth="1"/>
    <col min="12" max="12" width="11.33203125" bestFit="1" customWidth="1"/>
    <col min="13" max="13" width="61.21875" bestFit="1" customWidth="1"/>
    <col min="14" max="14" width="16.21875" bestFit="1" customWidth="1"/>
    <col min="15" max="15" width="19.109375" bestFit="1" customWidth="1"/>
    <col min="16" max="16" width="17.109375" bestFit="1" customWidth="1"/>
    <col min="17" max="17" width="19.44140625" bestFit="1" customWidth="1"/>
    <col min="18" max="18" width="11.6640625" bestFit="1" customWidth="1"/>
    <col min="19" max="19" width="18.44140625" bestFit="1" customWidth="1"/>
    <col min="20" max="20" width="18.77734375" bestFit="1" customWidth="1"/>
    <col min="21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68</v>
      </c>
      <c r="C2">
        <v>1</v>
      </c>
      <c r="D2" t="s">
        <v>69</v>
      </c>
      <c r="E2" t="s">
        <v>85</v>
      </c>
      <c r="F2" t="s">
        <v>71</v>
      </c>
      <c r="G2">
        <v>9.25349080808656E-4</v>
      </c>
      <c r="H2">
        <v>2E+20</v>
      </c>
      <c r="I2">
        <v>0</v>
      </c>
      <c r="J2">
        <v>2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ProjectAccess 1.QueueNumber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9.25349080808656E-4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9.25349080808656E-4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9.25349080808656E-4</v>
      </c>
      <c r="U2">
        <f>IF((ContinuousStatsTable[[#This Row],[RepsRequested]]&gt;1),ContinuousStatsTable[[#This Row],[HalfWidth]],ContinuousStatsTable[[#This Row],[BatchMeansHalfWidth]])</f>
        <v>2E+20</v>
      </c>
    </row>
    <row r="3" spans="1:21" x14ac:dyDescent="0.3">
      <c r="A3" t="s">
        <v>66</v>
      </c>
      <c r="B3" t="s">
        <v>68</v>
      </c>
      <c r="C3">
        <v>1</v>
      </c>
      <c r="D3" t="s">
        <v>72</v>
      </c>
      <c r="E3" t="s">
        <v>85</v>
      </c>
      <c r="F3" t="s">
        <v>71</v>
      </c>
      <c r="G3">
        <v>0</v>
      </c>
      <c r="H3">
        <v>2E+20</v>
      </c>
      <c r="I3">
        <v>0</v>
      </c>
      <c r="J3">
        <v>1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ProjectAccess 2.QueueNumber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</v>
      </c>
      <c r="U3">
        <f>IF((ContinuousStatsTable[[#This Row],[RepsRequested]]&gt;1),ContinuousStatsTable[[#This Row],[HalfWidth]],ContinuousStatsTable[[#This Row],[BatchMeansHalfWidth]])</f>
        <v>2E+20</v>
      </c>
    </row>
    <row r="4" spans="1:21" x14ac:dyDescent="0.3">
      <c r="A4" t="s">
        <v>66</v>
      </c>
      <c r="B4" t="s">
        <v>68</v>
      </c>
      <c r="C4">
        <v>1</v>
      </c>
      <c r="D4" t="s">
        <v>73</v>
      </c>
      <c r="E4" t="s">
        <v>85</v>
      </c>
      <c r="F4" t="s">
        <v>71</v>
      </c>
      <c r="G4">
        <v>0</v>
      </c>
      <c r="H4">
        <v>2E+20</v>
      </c>
      <c r="I4">
        <v>0</v>
      </c>
      <c r="J4">
        <v>1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ProjectAccess 3.QueueNumber WaitingQueue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3">
      <c r="A5" t="s">
        <v>66</v>
      </c>
      <c r="B5" t="s">
        <v>68</v>
      </c>
      <c r="C5">
        <v>1</v>
      </c>
      <c r="D5" t="s">
        <v>74</v>
      </c>
      <c r="E5" t="s">
        <v>85</v>
      </c>
      <c r="F5" t="s">
        <v>71</v>
      </c>
      <c r="G5">
        <v>0</v>
      </c>
      <c r="H5">
        <v>2E+20</v>
      </c>
      <c r="I5">
        <v>0</v>
      </c>
      <c r="J5">
        <v>1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ProjectAccess 4.QueueNumber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3">
      <c r="A6" t="s">
        <v>66</v>
      </c>
      <c r="B6" t="s">
        <v>68</v>
      </c>
      <c r="C6">
        <v>1</v>
      </c>
      <c r="D6" t="s">
        <v>86</v>
      </c>
      <c r="E6" t="s">
        <v>87</v>
      </c>
      <c r="F6" t="s">
        <v>88</v>
      </c>
      <c r="G6">
        <v>0.74868654093925502</v>
      </c>
      <c r="H6">
        <v>2E+20</v>
      </c>
      <c r="I6">
        <v>0</v>
      </c>
      <c r="J6">
        <v>1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ProjectOperador Maquina AInstantaneous UtilizationResource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0.74868654093925502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0.74868654093925502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0.74868654093925502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3">
      <c r="A7" t="s">
        <v>66</v>
      </c>
      <c r="B7" t="s">
        <v>68</v>
      </c>
      <c r="C7">
        <v>1</v>
      </c>
      <c r="D7" t="s">
        <v>86</v>
      </c>
      <c r="E7" t="s">
        <v>89</v>
      </c>
      <c r="F7" t="s">
        <v>88</v>
      </c>
      <c r="G7">
        <v>0.74868654093925502</v>
      </c>
      <c r="H7">
        <v>2E+20</v>
      </c>
      <c r="I7">
        <v>0</v>
      </c>
      <c r="J7">
        <v>1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ProjectOperador Maquina ANumber BusyResource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0.74868654093925502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0.74868654093925502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0.74868654093925502</v>
      </c>
      <c r="U7">
        <f>IF((ContinuousStatsTable[[#This Row],[RepsRequested]]&gt;1),ContinuousStatsTable[[#This Row],[HalfWidth]],ContinuousStatsTable[[#This Row],[BatchMeansHalfWidth]])</f>
        <v>2E+20</v>
      </c>
    </row>
    <row r="8" spans="1:21" x14ac:dyDescent="0.3">
      <c r="A8" t="s">
        <v>66</v>
      </c>
      <c r="B8" t="s">
        <v>68</v>
      </c>
      <c r="C8">
        <v>1</v>
      </c>
      <c r="D8" t="s">
        <v>86</v>
      </c>
      <c r="E8" t="s">
        <v>90</v>
      </c>
      <c r="F8" t="s">
        <v>88</v>
      </c>
      <c r="G8">
        <v>1</v>
      </c>
      <c r="H8">
        <v>2E+20</v>
      </c>
      <c r="I8">
        <v>1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ProjectOperador Maquina ANumber ScheduledResource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1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1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1</v>
      </c>
      <c r="U8">
        <f>IF((ContinuousStatsTable[[#This Row],[RepsRequested]]&gt;1),ContinuousStatsTable[[#This Row],[HalfWidth]],ContinuousStatsTable[[#This Row],[BatchMeansHalfWidth]])</f>
        <v>2E+20</v>
      </c>
    </row>
    <row r="9" spans="1:21" x14ac:dyDescent="0.3">
      <c r="A9" t="s">
        <v>66</v>
      </c>
      <c r="B9" t="s">
        <v>68</v>
      </c>
      <c r="C9">
        <v>1</v>
      </c>
      <c r="D9" t="s">
        <v>75</v>
      </c>
      <c r="E9" t="s">
        <v>91</v>
      </c>
      <c r="F9" t="s">
        <v>77</v>
      </c>
      <c r="G9">
        <v>2.3822648502127102</v>
      </c>
      <c r="H9">
        <v>0.55690931953633904</v>
      </c>
      <c r="I9">
        <v>0</v>
      </c>
      <c r="J9">
        <v>10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ProjectPECASWIPEntity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2.3822648502127102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2.3822648502127102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2.3822648502127102</v>
      </c>
      <c r="U9">
        <f>IF((ContinuousStatsTable[[#This Row],[RepsRequested]]&gt;1),ContinuousStatsTable[[#This Row],[HalfWidth]],ContinuousStatsTable[[#This Row],[BatchMeansHalfWidth]])</f>
        <v>0.55690931953633904</v>
      </c>
    </row>
    <row r="10" spans="1:21" x14ac:dyDescent="0.3">
      <c r="A10" t="s">
        <v>66</v>
      </c>
      <c r="B10" t="s">
        <v>68</v>
      </c>
      <c r="C10">
        <v>1</v>
      </c>
      <c r="D10" t="s">
        <v>83</v>
      </c>
      <c r="E10" t="s">
        <v>85</v>
      </c>
      <c r="F10" t="s">
        <v>71</v>
      </c>
      <c r="G10">
        <v>1.1915846562052299</v>
      </c>
      <c r="H10">
        <v>0.48201565561470999</v>
      </c>
      <c r="I10">
        <v>0</v>
      </c>
      <c r="J10">
        <v>9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ProjectProcesso Maquina A.QueueNumber WaitingQueue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1.1915846562052299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1.1915846562052299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1.1915846562052299</v>
      </c>
      <c r="U10">
        <f>IF((ContinuousStatsTable[[#This Row],[RepsRequested]]&gt;1),ContinuousStatsTable[[#This Row],[HalfWidth]],ContinuousStatsTable[[#This Row],[BatchMeansHalfWidth]])</f>
        <v>0.48201565561470999</v>
      </c>
    </row>
    <row r="11" spans="1:21" x14ac:dyDescent="0.3">
      <c r="A11" t="s">
        <v>66</v>
      </c>
      <c r="B11" t="s">
        <v>68</v>
      </c>
      <c r="C11">
        <v>1</v>
      </c>
      <c r="D11" t="s">
        <v>84</v>
      </c>
      <c r="E11" t="s">
        <v>85</v>
      </c>
      <c r="F11" t="s">
        <v>71</v>
      </c>
      <c r="G11">
        <v>2.2149473839101601E-4</v>
      </c>
      <c r="H11">
        <v>2E+20</v>
      </c>
      <c r="I11">
        <v>0</v>
      </c>
      <c r="J11">
        <v>1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ProjectProcesso Reparo.QueueNumber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2.2149473839101601E-4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2.2149473839101601E-4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2.2149473839101601E-4</v>
      </c>
      <c r="U11">
        <f>IF((ContinuousStatsTable[[#This Row],[RepsRequested]]&gt;1),ContinuousStatsTable[[#This Row],[HalfWidth]],ContinuousStatsTable[[#This Row],[BatchMeansHalfWidth]])</f>
        <v>2E+20</v>
      </c>
    </row>
    <row r="12" spans="1:21" x14ac:dyDescent="0.3">
      <c r="A12" t="s">
        <v>66</v>
      </c>
      <c r="B12" t="s">
        <v>68</v>
      </c>
      <c r="C12">
        <v>1</v>
      </c>
      <c r="D12" t="s">
        <v>92</v>
      </c>
      <c r="E12" t="s">
        <v>87</v>
      </c>
      <c r="F12" t="s">
        <v>88</v>
      </c>
      <c r="G12">
        <v>0.190621809248994</v>
      </c>
      <c r="H12">
        <v>2.7653082294344301E-2</v>
      </c>
      <c r="I12">
        <v>0</v>
      </c>
      <c r="J12">
        <v>1</v>
      </c>
      <c r="K12">
        <v>0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ProjectReparadorInstantaneous UtilizationResource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1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0.190621809248994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0.190621809248994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0.190621809248994</v>
      </c>
      <c r="U12">
        <f>IF((ContinuousStatsTable[[#This Row],[RepsRequested]]&gt;1),ContinuousStatsTable[[#This Row],[HalfWidth]],ContinuousStatsTable[[#This Row],[BatchMeansHalfWidth]])</f>
        <v>2.7653082294344301E-2</v>
      </c>
    </row>
    <row r="13" spans="1:21" x14ac:dyDescent="0.3">
      <c r="A13" t="s">
        <v>66</v>
      </c>
      <c r="B13" t="s">
        <v>68</v>
      </c>
      <c r="C13">
        <v>1</v>
      </c>
      <c r="D13" t="s">
        <v>92</v>
      </c>
      <c r="E13" t="s">
        <v>89</v>
      </c>
      <c r="F13" t="s">
        <v>88</v>
      </c>
      <c r="G13">
        <v>0.190621809248994</v>
      </c>
      <c r="H13">
        <v>2.7653082294344301E-2</v>
      </c>
      <c r="I13">
        <v>0</v>
      </c>
      <c r="J13">
        <v>1</v>
      </c>
      <c r="K13">
        <v>0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ProjectReparadorNumber BusyResource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1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0.190621809248994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0.190621809248994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0.190621809248994</v>
      </c>
      <c r="U13">
        <f>IF((ContinuousStatsTable[[#This Row],[RepsRequested]]&gt;1),ContinuousStatsTable[[#This Row],[HalfWidth]],ContinuousStatsTable[[#This Row],[BatchMeansHalfWidth]])</f>
        <v>2.7653082294344301E-2</v>
      </c>
    </row>
    <row r="14" spans="1:21" x14ac:dyDescent="0.3">
      <c r="A14" t="s">
        <v>66</v>
      </c>
      <c r="B14" t="s">
        <v>68</v>
      </c>
      <c r="C14">
        <v>1</v>
      </c>
      <c r="D14" t="s">
        <v>92</v>
      </c>
      <c r="E14" t="s">
        <v>90</v>
      </c>
      <c r="F14" t="s">
        <v>88</v>
      </c>
      <c r="G14">
        <v>1</v>
      </c>
      <c r="H14">
        <v>2E+20</v>
      </c>
      <c r="I14">
        <v>1</v>
      </c>
      <c r="J14">
        <v>1</v>
      </c>
      <c r="K14">
        <v>1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ProjectReparadorNumber ScheduledResource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1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1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1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1</v>
      </c>
      <c r="U14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14">
    <cfRule type="expression" dxfId="10" priority="9">
      <formula>H2=200000000000000000000</formula>
    </cfRule>
  </conditionalFormatting>
  <conditionalFormatting sqref="H2:H14">
    <cfRule type="expression" dxfId="9" priority="7">
      <formula>H2=300000000000000000000</formula>
    </cfRule>
  </conditionalFormatting>
  <conditionalFormatting sqref="M2:U14">
    <cfRule type="expression" dxfId="8" priority="5">
      <formula>MOD(ROW(),2)=0</formula>
    </cfRule>
  </conditionalFormatting>
  <conditionalFormatting sqref="U2:U14">
    <cfRule type="expression" dxfId="7" priority="3">
      <formula>U2=200000000000000000000</formula>
    </cfRule>
    <cfRule type="expression" dxfId="6" priority="4">
      <formula>U2=300000000000000000000</formula>
    </cfRule>
  </conditionalFormatting>
  <conditionalFormatting sqref="R2:R14 U2:U14">
    <cfRule type="expression" dxfId="5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7.33203125" bestFit="1" customWidth="1"/>
    <col min="6" max="6" width="9" bestFit="1" customWidth="1"/>
    <col min="7" max="7" width="16.109375" bestFit="1" customWidth="1"/>
    <col min="8" max="8" width="13.6640625" bestFit="1" customWidth="1"/>
    <col min="9" max="9" width="16.21875" bestFit="1" customWidth="1"/>
    <col min="10" max="10" width="10.109375" bestFit="1" customWidth="1"/>
    <col min="11" max="11" width="19" bestFit="1" customWidth="1"/>
    <col min="12" max="12" width="19.44140625" bestFit="1" customWidth="1"/>
    <col min="13" max="13" width="11.6640625" bestFit="1" customWidth="1"/>
    <col min="14" max="14" width="11.44140625" bestFit="1" customWidth="1"/>
    <col min="15" max="15" width="11.7773437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4" priority="2">
      <formula>MOD(ROW(),2)=0</formula>
    </cfRule>
  </conditionalFormatting>
  <conditionalFormatting sqref="M2">
    <cfRule type="expression" dxfId="3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8"/>
  <sheetViews>
    <sheetView workbookViewId="0">
      <selection activeCell="H2" sqref="H2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35.6640625" bestFit="1" customWidth="1"/>
    <col min="5" max="5" width="18.21875" bestFit="1" customWidth="1"/>
    <col min="6" max="6" width="9" bestFit="1" customWidth="1"/>
    <col min="7" max="7" width="16.109375" bestFit="1" customWidth="1"/>
    <col min="8" max="8" width="11.33203125" bestFit="1" customWidth="1"/>
    <col min="9" max="9" width="75.44140625" bestFit="1" customWidth="1"/>
    <col min="10" max="10" width="16.21875" bestFit="1" customWidth="1"/>
    <col min="11" max="11" width="12" customWidth="1"/>
    <col min="12" max="12" width="19" bestFit="1" customWidth="1"/>
    <col min="13" max="13" width="19.44140625" bestFit="1" customWidth="1"/>
    <col min="14" max="14" width="11.6640625" bestFit="1" customWidth="1"/>
    <col min="15" max="16" width="12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68</v>
      </c>
      <c r="C2">
        <v>1</v>
      </c>
      <c r="D2" t="s">
        <v>93</v>
      </c>
      <c r="E2" t="s">
        <v>94</v>
      </c>
      <c r="F2" t="s">
        <v>88</v>
      </c>
      <c r="G2">
        <v>501</v>
      </c>
      <c r="H2">
        <v>0</v>
      </c>
      <c r="I2" t="str">
        <f>OutputTable[[#This Row],[ProjectName]]&amp;OutputTable[[#This Row],[Name]]&amp;OutputTable[[#This Row],[Type]]&amp;OutputTable[[#This Row],[Source]]</f>
        <v>Unnamed ProjectOperador Maquina A.NumberSeizedTotal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501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501</v>
      </c>
      <c r="P2" cm="1">
        <f t="array" ref="P2">MAX(IF((OutputTable[GroupByKey]=OutputTable[[#This Row],[GroupByKey]]),(OutputTable[GroupByKey]=OutputTable[[#This Row],[GroupByKey]])*OutputTable[RecordedValue]))</f>
        <v>501</v>
      </c>
    </row>
    <row r="3" spans="1:16" x14ac:dyDescent="0.3">
      <c r="A3" t="s">
        <v>66</v>
      </c>
      <c r="B3" t="s">
        <v>68</v>
      </c>
      <c r="C3">
        <v>1</v>
      </c>
      <c r="D3" t="s">
        <v>95</v>
      </c>
      <c r="E3" t="s">
        <v>96</v>
      </c>
      <c r="F3" t="s">
        <v>88</v>
      </c>
      <c r="G3">
        <v>0.74868654093925502</v>
      </c>
      <c r="H3">
        <v>0</v>
      </c>
      <c r="I3" t="str">
        <f>OutputTable[[#This Row],[ProjectName]]&amp;OutputTable[[#This Row],[Name]]&amp;OutputTable[[#This Row],[Type]]&amp;OutputTable[[#This Row],[Source]]</f>
        <v>Unnamed ProjectOperador Maquina A.ScheduledUtilizationScheduled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0.74868654093925502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0.74868654093925502</v>
      </c>
      <c r="P3" cm="1">
        <f t="array" ref="P3">MAX(IF((OutputTable[GroupByKey]=OutputTable[[#This Row],[GroupByKey]]),(OutputTable[GroupByKey]=OutputTable[[#This Row],[GroupByKey]])*OutputTable[RecordedValue]))</f>
        <v>0.74868654093925502</v>
      </c>
    </row>
    <row r="4" spans="1:16" x14ac:dyDescent="0.3">
      <c r="A4" t="s">
        <v>66</v>
      </c>
      <c r="B4" t="s">
        <v>68</v>
      </c>
      <c r="C4">
        <v>1</v>
      </c>
      <c r="D4" t="s">
        <v>97</v>
      </c>
      <c r="E4" t="s">
        <v>98</v>
      </c>
      <c r="F4" t="s">
        <v>77</v>
      </c>
      <c r="G4">
        <v>501</v>
      </c>
      <c r="H4">
        <v>0</v>
      </c>
      <c r="I4" t="str">
        <f>OutputTable[[#This Row],[ProjectName]]&amp;OutputTable[[#This Row],[Name]]&amp;OutputTable[[#This Row],[Type]]&amp;OutputTable[[#This Row],[Source]]</f>
        <v>Unnamed ProjectPECAS.NumberInNumber InEntity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501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501</v>
      </c>
      <c r="P4" cm="1">
        <f t="array" ref="P4">MAX(IF((OutputTable[GroupByKey]=OutputTable[[#This Row],[GroupByKey]]),(OutputTable[GroupByKey]=OutputTable[[#This Row],[GroupByKey]])*OutputTable[RecordedValue]))</f>
        <v>501</v>
      </c>
    </row>
    <row r="5" spans="1:16" x14ac:dyDescent="0.3">
      <c r="A5" t="s">
        <v>66</v>
      </c>
      <c r="B5" t="s">
        <v>68</v>
      </c>
      <c r="C5">
        <v>1</v>
      </c>
      <c r="D5" t="s">
        <v>99</v>
      </c>
      <c r="E5" t="s">
        <v>100</v>
      </c>
      <c r="F5" t="s">
        <v>77</v>
      </c>
      <c r="G5">
        <v>501</v>
      </c>
      <c r="H5">
        <v>0</v>
      </c>
      <c r="I5" t="str">
        <f>OutputTable[[#This Row],[ProjectName]]&amp;OutputTable[[#This Row],[Name]]&amp;OutputTable[[#This Row],[Type]]&amp;OutputTable[[#This Row],[Source]]</f>
        <v>Unnamed ProjectPECAS.NumberOutNumber OutEntity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501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501</v>
      </c>
      <c r="P5" cm="1">
        <f t="array" ref="P5">MAX(IF((OutputTable[GroupByKey]=OutputTable[[#This Row],[GroupByKey]]),(OutputTable[GroupByKey]=OutputTable[[#This Row],[GroupByKey]])*OutputTable[RecordedValue]))</f>
        <v>501</v>
      </c>
    </row>
    <row r="6" spans="1:16" x14ac:dyDescent="0.3">
      <c r="A6" t="s">
        <v>66</v>
      </c>
      <c r="B6" t="s">
        <v>68</v>
      </c>
      <c r="C6">
        <v>1</v>
      </c>
      <c r="D6" t="s">
        <v>101</v>
      </c>
      <c r="E6" t="s">
        <v>94</v>
      </c>
      <c r="F6" t="s">
        <v>88</v>
      </c>
      <c r="G6">
        <v>193</v>
      </c>
      <c r="H6">
        <v>0</v>
      </c>
      <c r="I6" t="str">
        <f>OutputTable[[#This Row],[ProjectName]]&amp;OutputTable[[#This Row],[Name]]&amp;OutputTable[[#This Row],[Type]]&amp;OutputTable[[#This Row],[Source]]</f>
        <v>Unnamed ProjectReparador.NumberSeizedTotal Number SeizedResource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193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193</v>
      </c>
      <c r="P6" cm="1">
        <f t="array" ref="P6">MAX(IF((OutputTable[GroupByKey]=OutputTable[[#This Row],[GroupByKey]]),(OutputTable[GroupByKey]=OutputTable[[#This Row],[GroupByKey]])*OutputTable[RecordedValue]))</f>
        <v>193</v>
      </c>
    </row>
    <row r="7" spans="1:16" x14ac:dyDescent="0.3">
      <c r="A7" t="s">
        <v>66</v>
      </c>
      <c r="B7" t="s">
        <v>68</v>
      </c>
      <c r="C7">
        <v>1</v>
      </c>
      <c r="D7" t="s">
        <v>102</v>
      </c>
      <c r="E7" t="s">
        <v>96</v>
      </c>
      <c r="F7" t="s">
        <v>88</v>
      </c>
      <c r="G7">
        <v>0.190621809248994</v>
      </c>
      <c r="H7">
        <v>0</v>
      </c>
      <c r="I7" t="str">
        <f>OutputTable[[#This Row],[ProjectName]]&amp;OutputTable[[#This Row],[Name]]&amp;OutputTable[[#This Row],[Type]]&amp;OutputTable[[#This Row],[Source]]</f>
        <v>Unnamed ProjectReparador.ScheduledUtilizationScheduled UtilizationResource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0.190621809248994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cm="1">
        <f t="array" ref="O7">MIN(IF((OutputTable[GroupByKey]=OutputTable[[#This Row],[GroupByKey]]),(OutputTable[GroupByKey]=OutputTable[[#This Row],[GroupByKey]])*OutputTable[RecordedValue]))</f>
        <v>0.190621809248994</v>
      </c>
      <c r="P7" cm="1">
        <f t="array" ref="P7">MAX(IF((OutputTable[GroupByKey]=OutputTable[[#This Row],[GroupByKey]]),(OutputTable[GroupByKey]=OutputTable[[#This Row],[GroupByKey]])*OutputTable[RecordedValue]))</f>
        <v>0.190621809248994</v>
      </c>
    </row>
    <row r="8" spans="1:16" x14ac:dyDescent="0.3">
      <c r="A8" t="s">
        <v>66</v>
      </c>
      <c r="B8" t="s">
        <v>68</v>
      </c>
      <c r="C8">
        <v>1</v>
      </c>
      <c r="D8" t="s">
        <v>103</v>
      </c>
      <c r="E8" t="s">
        <v>100</v>
      </c>
      <c r="F8" t="s">
        <v>104</v>
      </c>
      <c r="G8">
        <v>501</v>
      </c>
      <c r="H8">
        <v>0</v>
      </c>
      <c r="I8" t="str">
        <f>OutputTable[[#This Row],[ProjectName]]&amp;OutputTable[[#This Row],[Name]]&amp;OutputTable[[#This Row],[Type]]&amp;OutputTable[[#This Row],[Source]]</f>
        <v>Unnamed ProjectSystem.NumberOutNumber OutSystem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501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cm="1">
        <f t="array" ref="O8">MIN(IF((OutputTable[GroupByKey]=OutputTable[[#This Row],[GroupByKey]]),(OutputTable[GroupByKey]=OutputTable[[#This Row],[GroupByKey]])*OutputTable[RecordedValue]))</f>
        <v>501</v>
      </c>
      <c r="P8" cm="1">
        <f t="array" ref="P8">MAX(IF((OutputTable[GroupByKey]=OutputTable[[#This Row],[GroupByKey]]),(OutputTable[GroupByKey]=OutputTable[[#This Row],[GroupByKey]])*OutputTable[RecordedValue]))</f>
        <v>501</v>
      </c>
    </row>
  </sheetData>
  <phoneticPr fontId="2" type="noConversion"/>
  <conditionalFormatting sqref="I2:P8">
    <cfRule type="expression" dxfId="2" priority="2">
      <formula>MOD(ROW(),2)=0</formula>
    </cfRule>
  </conditionalFormatting>
  <conditionalFormatting sqref="N2:N8">
    <cfRule type="expression" dxfId="1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31"/>
  <sheetViews>
    <sheetView workbookViewId="0">
      <selection activeCell="A2" sqref="A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10.77734375" bestFit="1" customWidth="1"/>
    <col min="6" max="6" width="9" bestFit="1" customWidth="1"/>
    <col min="7" max="7" width="20.5546875" bestFit="1" customWidth="1"/>
    <col min="8" max="8" width="21.21875" bestFit="1" customWidth="1"/>
    <col min="9" max="9" width="23.77734375" bestFit="1" customWidth="1"/>
    <col min="10" max="10" width="25" bestFit="1" customWidth="1"/>
    <col min="11" max="11" width="13.6640625" bestFit="1" customWidth="1"/>
    <col min="12" max="12" width="28.88671875" bestFit="1" customWidth="1"/>
    <col min="13" max="13" width="29.5546875" bestFit="1" customWidth="1"/>
    <col min="14" max="14" width="16.21875" bestFit="1" customWidth="1"/>
    <col min="15" max="15" width="27.6640625" bestFit="1" customWidth="1"/>
    <col min="16" max="16" width="28.33203125" bestFit="1" customWidth="1"/>
    <col min="17" max="17" width="29.21875" bestFit="1" customWidth="1"/>
    <col min="18" max="18" width="28.33203125" bestFit="1" customWidth="1"/>
    <col min="19" max="19" width="26.21875" bestFit="1" customWidth="1"/>
    <col min="20" max="20" width="29.88671875" bestFit="1" customWidth="1"/>
    <col min="21" max="21" width="31.88671875" bestFit="1" customWidth="1"/>
    <col min="22" max="22" width="32.10937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</sheetData>
  <phoneticPr fontId="2" type="noConversion"/>
  <conditionalFormatting sqref="K1:P2 K17:P17 Q45:V45 K31:V31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Luiz Mário Andrade</cp:lastModifiedBy>
  <cp:lastPrinted>2022-03-22T10:33:10Z</cp:lastPrinted>
  <dcterms:created xsi:type="dcterms:W3CDTF">2020-06-29T21:30:31Z</dcterms:created>
  <dcterms:modified xsi:type="dcterms:W3CDTF">2023-01-05T23:06:13Z</dcterms:modified>
</cp:coreProperties>
</file>